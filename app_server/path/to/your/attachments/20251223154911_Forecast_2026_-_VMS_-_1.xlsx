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sgroupholdings-my.sharepoint.com/personal/phuoc_mai_vms_engineering/Documents/Desktop/"/>
    </mc:Choice>
  </mc:AlternateContent>
  <xr:revisionPtr revIDLastSave="0" documentId="8_{23CEFE2C-2E1E-46D5-AC41-D4BEBCE546D7}" xr6:coauthVersionLast="47" xr6:coauthVersionMax="47" xr10:uidLastSave="{00000000-0000-0000-0000-000000000000}"/>
  <bookViews>
    <workbookView xWindow="-120" yWindow="-120" windowWidth="29040" windowHeight="15840" xr2:uid="{45B5433A-A555-4C2F-AB4A-A4EF038543D0}"/>
  </bookViews>
  <sheets>
    <sheet name="Sheet3" sheetId="3" r:id="rId1"/>
    <sheet name="Sheet2" sheetId="2" r:id="rId2"/>
  </sheets>
  <definedNames>
    <definedName name="_xlnm._FilterDatabase" localSheetId="0" hidden="1">Sheet3!$A$1:$L$86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" i="3" l="1"/>
  <c r="L79" i="3"/>
  <c r="L8" i="3"/>
  <c r="L40" i="3"/>
  <c r="L20" i="3"/>
  <c r="L60" i="3"/>
  <c r="L29" i="3"/>
  <c r="L65" i="3"/>
  <c r="L19" i="3"/>
  <c r="L39" i="3"/>
  <c r="L59" i="3"/>
  <c r="L64" i="3"/>
  <c r="L69" i="3"/>
  <c r="L78" i="3"/>
  <c r="L7" i="3"/>
  <c r="L18" i="3"/>
  <c r="L28" i="3"/>
  <c r="L49" i="3"/>
  <c r="L58" i="3"/>
  <c r="L68" i="3"/>
  <c r="L77" i="3"/>
  <c r="L6" i="3"/>
  <c r="L17" i="3"/>
  <c r="L27" i="3"/>
  <c r="L38" i="3"/>
  <c r="L48" i="3"/>
  <c r="L57" i="3"/>
  <c r="L63" i="3"/>
  <c r="L76" i="3"/>
  <c r="L85" i="3"/>
  <c r="L16" i="3"/>
  <c r="L26" i="3"/>
  <c r="L37" i="3"/>
  <c r="L47" i="3"/>
  <c r="L56" i="3"/>
  <c r="L62" i="3"/>
  <c r="L67" i="3"/>
  <c r="L75" i="3"/>
  <c r="L4" i="3"/>
  <c r="L15" i="3"/>
  <c r="L25" i="3"/>
  <c r="L36" i="3"/>
  <c r="L46" i="3"/>
  <c r="L55" i="3"/>
  <c r="L61" i="3"/>
  <c r="L66" i="3"/>
  <c r="L74" i="3"/>
  <c r="L84" i="3"/>
  <c r="L5" i="3"/>
  <c r="L3" i="3"/>
  <c r="L14" i="3"/>
  <c r="L24" i="3"/>
  <c r="L35" i="3"/>
  <c r="L45" i="3"/>
  <c r="L54" i="3"/>
  <c r="L73" i="3"/>
  <c r="L83" i="3"/>
  <c r="L13" i="3"/>
  <c r="L23" i="3"/>
  <c r="L34" i="3"/>
  <c r="L44" i="3"/>
  <c r="L53" i="3"/>
  <c r="L72" i="3"/>
  <c r="L82" i="3"/>
  <c r="L12" i="3"/>
  <c r="L22" i="3"/>
  <c r="L33" i="3"/>
  <c r="L43" i="3"/>
  <c r="L71" i="3"/>
  <c r="L50" i="3"/>
  <c r="L11" i="3"/>
  <c r="L21" i="3"/>
  <c r="L32" i="3"/>
  <c r="L42" i="3"/>
  <c r="L81" i="3"/>
  <c r="L10" i="3"/>
  <c r="L31" i="3"/>
  <c r="L52" i="3"/>
  <c r="L9" i="3"/>
  <c r="L30" i="3"/>
  <c r="L41" i="3"/>
  <c r="L51" i="3"/>
  <c r="L80" i="3"/>
</calcChain>
</file>

<file path=xl/sharedStrings.xml><?xml version="1.0" encoding="utf-8"?>
<sst xmlns="http://schemas.openxmlformats.org/spreadsheetml/2006/main" count="353" uniqueCount="307">
  <si>
    <t>ITEMS</t>
  </si>
  <si>
    <t>PART#</t>
  </si>
  <si>
    <t>PART NO.</t>
  </si>
  <si>
    <t>GATES CODE</t>
  </si>
  <si>
    <t>DESCRIPTION</t>
  </si>
  <si>
    <t>TOTAL</t>
  </si>
  <si>
    <t>JSF-4G1</t>
  </si>
  <si>
    <t>4G1</t>
  </si>
  <si>
    <t>HYDRAULIC HOSE 1/4' X 1SN</t>
  </si>
  <si>
    <t>JSF-4G2</t>
  </si>
  <si>
    <t>4G2</t>
  </si>
  <si>
    <t>HYDRAULIC HOSE 1/4" X 2 SN</t>
  </si>
  <si>
    <t>JSF-6G1</t>
  </si>
  <si>
    <t>6G1</t>
  </si>
  <si>
    <t>HYDRAULIC HOSE 3/8" X 1SN</t>
  </si>
  <si>
    <t>JSF-6G2</t>
  </si>
  <si>
    <t>6G2</t>
  </si>
  <si>
    <t>HYDRAULIC HOSE 3/8" X 2SN</t>
  </si>
  <si>
    <t>JSF-6G2XH</t>
  </si>
  <si>
    <t>6G2XH</t>
  </si>
  <si>
    <t>HYDRAULIC HOSE 3/8"x2SN (High Pressure 5000 psi)</t>
  </si>
  <si>
    <t>JSF-6M3K</t>
  </si>
  <si>
    <t>6M3K</t>
  </si>
  <si>
    <t>HYDRAULIC HOSE 3/8"-3SN</t>
  </si>
  <si>
    <t>JSF-8G1</t>
  </si>
  <si>
    <t>8G1</t>
  </si>
  <si>
    <t>HYDRAULIC HOSE 1/2" X 1SN</t>
  </si>
  <si>
    <t>JSF-8G2</t>
  </si>
  <si>
    <t>8G2</t>
  </si>
  <si>
    <t>HYDRAULIC HOSE 1/2" X 2SN</t>
  </si>
  <si>
    <t>JSF-12G1</t>
  </si>
  <si>
    <t>12G1</t>
  </si>
  <si>
    <t>HYDRAULIC HOSE 3/4' X 1SN</t>
  </si>
  <si>
    <t>JSF-12G2</t>
  </si>
  <si>
    <t>12G2</t>
  </si>
  <si>
    <t>HYDRAULIC HOSE 3/4" X 2SN</t>
  </si>
  <si>
    <t>JSF-12GMV</t>
  </si>
  <si>
    <t>12GMV</t>
  </si>
  <si>
    <t>3/4" PETROL OIL SUCTION (RWPS10-19</t>
  </si>
  <si>
    <t>JSF-12LOLA</t>
  </si>
  <si>
    <t>12LOLA</t>
  </si>
  <si>
    <t>3/4" LOW PRESSURE DELIVERY - R6-12 - 12LOLA-B</t>
  </si>
  <si>
    <t>JSF-12M4K</t>
  </si>
  <si>
    <t>12M4K</t>
  </si>
  <si>
    <t xml:space="preserve">HYDRAULIC HOSE 3/4" X 2 SN </t>
  </si>
  <si>
    <t>JSF-12EFG6K</t>
  </si>
  <si>
    <t>12EFG6K</t>
  </si>
  <si>
    <t>HYDRAULIC HOSE 3/4" 6SN</t>
  </si>
  <si>
    <t>JSF-16G1</t>
  </si>
  <si>
    <t>16G1</t>
  </si>
  <si>
    <t>HYDRAULIC HOSE 1" X 1SN</t>
  </si>
  <si>
    <t>JSF-16GMV</t>
  </si>
  <si>
    <t>16GMV</t>
  </si>
  <si>
    <t>1" PETROL OIL SUCTION</t>
  </si>
  <si>
    <t>JSF-16EFG6K</t>
  </si>
  <si>
    <t>16EFG6K</t>
  </si>
  <si>
    <t>HYDRAULIC HOSE 1"-6SN</t>
  </si>
  <si>
    <t>JSF-20G1</t>
  </si>
  <si>
    <t>20G1</t>
  </si>
  <si>
    <t>HYDRAULIC HOSE 11/4'X1SN</t>
  </si>
  <si>
    <t>JSF-20EFG6K</t>
  </si>
  <si>
    <t>20EFG6K</t>
  </si>
  <si>
    <t>HYDRAULIC HOSE 11/4'X6SN</t>
  </si>
  <si>
    <t>JSF-24G1</t>
  </si>
  <si>
    <t>24G1</t>
  </si>
  <si>
    <t>HYDRAULIC HOSE 1.1/2" X 1SN</t>
  </si>
  <si>
    <t>JSF-24GMV</t>
  </si>
  <si>
    <t>24GMV</t>
  </si>
  <si>
    <t>1.5" PETROL OIL SUCTION</t>
  </si>
  <si>
    <t>JSF-24EFG6K</t>
  </si>
  <si>
    <t>24EFG6K</t>
  </si>
  <si>
    <t>HYDRAULIC HOSE 11/2'X6SN (MSHA, EXTREMELY HIGH PRESSURE 6000 PSI)</t>
  </si>
  <si>
    <t>JSF-HTG-12</t>
  </si>
  <si>
    <t>GATES HEAT GUARD I.D 19.05mm</t>
  </si>
  <si>
    <t>JSF-HTG-14</t>
  </si>
  <si>
    <t>GATES HEAT GUARD I.D 22.35mm</t>
  </si>
  <si>
    <t>JSF-HTG-18</t>
  </si>
  <si>
    <t>GATES HEAT GUARD I.D 28.45mm</t>
  </si>
  <si>
    <t>JSF-HTG-22</t>
  </si>
  <si>
    <t>GATES HEAT GUARD I.D 35.05mm</t>
  </si>
  <si>
    <t>JSF-7277-1176</t>
  </si>
  <si>
    <t>7277-1176 (12PSB POLY SLEEVE)</t>
  </si>
  <si>
    <t>HOSE 3/8" WITH O/D 17MM - HOSE WRAPPING</t>
  </si>
  <si>
    <t>JSF-7277-1178</t>
  </si>
  <si>
    <t>7277-1178 (20PSB POLY SLEEVE)</t>
  </si>
  <si>
    <t>HOSE 3/4" WITH O/D 28MM - HOSE WRAPPING</t>
  </si>
  <si>
    <t>JSF-7277-1179</t>
  </si>
  <si>
    <t>7277-1179 (24PSB POLY SLEEVE)</t>
  </si>
  <si>
    <t>HOSE 1" WITH O/D 38MM - HOSE WRAPPING</t>
  </si>
  <si>
    <t>JSF-R50SSG</t>
  </si>
  <si>
    <t>R50SSG (28PSB POLY SLEEVE)</t>
  </si>
  <si>
    <t>HOSE GUARD 1 1/2"</t>
  </si>
  <si>
    <t>JSF-R75SSG</t>
  </si>
  <si>
    <t>R75SSG (44PSB POLY SLEEVE)</t>
  </si>
  <si>
    <t>PLASTIC HOSE GUARD 63 O/DX55 I/D (1 Roll 20M)</t>
  </si>
  <si>
    <t>JSF-S05-0704</t>
  </si>
  <si>
    <t>4G-4FJX</t>
  </si>
  <si>
    <t>7/16JIC-1/4")</t>
  </si>
  <si>
    <t>JSF-S05-0904</t>
  </si>
  <si>
    <t>4G-6FJX</t>
  </si>
  <si>
    <t>FITTING 9/16JIC-1/4"</t>
  </si>
  <si>
    <t>JSF-S05-0906</t>
  </si>
  <si>
    <t>6G-6FJX</t>
  </si>
  <si>
    <t>FITTING 9/16''JIC (F)-3/8"</t>
  </si>
  <si>
    <t>JSF-S05-1206</t>
  </si>
  <si>
    <t>6G-8FJX</t>
  </si>
  <si>
    <t>FITTING 3/4JIC-3/8" (6G-8FJX)</t>
  </si>
  <si>
    <t>JSF-S05-1208</t>
  </si>
  <si>
    <t>8G-8FJX</t>
  </si>
  <si>
    <t>FITTING 3/4'JIC (F)-1/2'</t>
  </si>
  <si>
    <t>JSF-S05-1708</t>
  </si>
  <si>
    <t>8G-12FJX</t>
  </si>
  <si>
    <t>FITTING 1 1/16'JIC-1/2"</t>
  </si>
  <si>
    <t>JSF-S05-1712</t>
  </si>
  <si>
    <t>12G-12FJX</t>
  </si>
  <si>
    <t>FITTING 1 1/16"JIC-3/4"</t>
  </si>
  <si>
    <t>JSF-S05-1712MW</t>
  </si>
  <si>
    <t>12GS-12FJX</t>
  </si>
  <si>
    <t>FITTING 1 1/16JIC-3/4" (4&amp;6 WIRE)</t>
  </si>
  <si>
    <t>JSF-S05-2112</t>
  </si>
  <si>
    <t>12G-16FJX</t>
  </si>
  <si>
    <t>FITTING 1 5/16'JIC-3/4'</t>
  </si>
  <si>
    <t>JSF-S05-2116</t>
  </si>
  <si>
    <t>16G-16FJX</t>
  </si>
  <si>
    <t>FITTING 1.5/16JIC-1"</t>
  </si>
  <si>
    <t>JSF-S05-2116MW</t>
  </si>
  <si>
    <t>16GS-16FJX</t>
  </si>
  <si>
    <t>FITTING 1.5/16JIC-1" (4&amp;6 WIRE)</t>
  </si>
  <si>
    <t>JSF-S05-2616</t>
  </si>
  <si>
    <t>16G-20FJX</t>
  </si>
  <si>
    <t>FITTING 1 5/8'JIC-1'</t>
  </si>
  <si>
    <t>JSF-S05-2620</t>
  </si>
  <si>
    <t>20G-20FJX</t>
  </si>
  <si>
    <t>FITTING 1 5/8'JIC-1 1/4' x2SN</t>
  </si>
  <si>
    <t>JSF-S05-2620MW</t>
  </si>
  <si>
    <t>20GS-20FJX</t>
  </si>
  <si>
    <t>FITTING 1 5/8JIC-1 1/4" (4&amp;6WIRE)</t>
  </si>
  <si>
    <t>JSF-S05-3024</t>
  </si>
  <si>
    <t>24GSP-24FJX</t>
  </si>
  <si>
    <t>FITTING 1.7/8JIC-1.1/2"</t>
  </si>
  <si>
    <t>JSF-S05-3024MW</t>
  </si>
  <si>
    <t>24GSH-24FJX (24GSM-24FJX)</t>
  </si>
  <si>
    <t>FITTING 1 7/8"JIC-1 1/2" (6 WIRE)</t>
  </si>
  <si>
    <t>JSF-S22-1616</t>
  </si>
  <si>
    <t>16GS-16FLH</t>
  </si>
  <si>
    <t>FITTING 1"CODE62-1"</t>
  </si>
  <si>
    <t>JSF-S22-2020</t>
  </si>
  <si>
    <t>20GS-20FLH</t>
  </si>
  <si>
    <t>FITTING 1 1/4"CODE 62-1 1/4" (no ferrule)</t>
  </si>
  <si>
    <t>JSF-S22-2424</t>
  </si>
  <si>
    <t>FITTING 1 1/2"CODE62-1 1/2" (6SN) (with ferrule)</t>
  </si>
  <si>
    <t>JSF-S55-0704</t>
  </si>
  <si>
    <t>FITTING 7/16JIC-1/4" X 90 DEG = CAT-387121-90</t>
  </si>
  <si>
    <t>JSF-S55-0904</t>
  </si>
  <si>
    <t>4G-6FJX90S</t>
  </si>
  <si>
    <t>FITTING 9/16JIC-1/4' _90</t>
  </si>
  <si>
    <t>JSF-S55-0906</t>
  </si>
  <si>
    <t>6G-6FJX90S</t>
  </si>
  <si>
    <t>FITTING 9/16'JIC-3/8'X90</t>
  </si>
  <si>
    <t>JSF-S55-1206</t>
  </si>
  <si>
    <t>6G-8FJX90S</t>
  </si>
  <si>
    <t>FITTING 3/4JIC-3/8" X 90</t>
  </si>
  <si>
    <t>JSF-S55-1208</t>
  </si>
  <si>
    <t>8G-8FJX90S</t>
  </si>
  <si>
    <t>FITTING 3/4JIC-1/2" X 90</t>
  </si>
  <si>
    <t>JSF-S55-1712</t>
  </si>
  <si>
    <t>12G-12FJX90S</t>
  </si>
  <si>
    <t>FITTING 1 1/16JIC-3/4" X 90 DEG</t>
  </si>
  <si>
    <t>JSF-S55-1712MW</t>
  </si>
  <si>
    <t>12GS-12FJX90S</t>
  </si>
  <si>
    <t>FITTING 1 1/16JIC-3/4" x 90 DEG (4&amp;6 WIRE)</t>
  </si>
  <si>
    <t>JSF-S55-2112</t>
  </si>
  <si>
    <t>FITTING 1.5/16JIC-3/4" X 90</t>
  </si>
  <si>
    <t>JSF-S55-2116</t>
  </si>
  <si>
    <t>16G-16FJX90M</t>
  </si>
  <si>
    <t>FITTING 1.5/16JIC-1" X 90</t>
  </si>
  <si>
    <t>JSF-S55-2116MW</t>
  </si>
  <si>
    <t>16GS-16FJX90S</t>
  </si>
  <si>
    <t>FITTING 1.5/16JIC-1" X 90 (4&amp;6WIRE)</t>
  </si>
  <si>
    <t>JSF-S55-2620</t>
  </si>
  <si>
    <t>20G-20FJX90-089</t>
  </si>
  <si>
    <t>FITTING 1 5/8'JIC-1 1/4X90 DEG</t>
  </si>
  <si>
    <t>JSF-S55-3024</t>
  </si>
  <si>
    <t>24GSP-24FJX90-089</t>
  </si>
  <si>
    <t>FITTING 1.7/8JIC-1.1/2" X 90</t>
  </si>
  <si>
    <t>JSF-S55-3024MW</t>
  </si>
  <si>
    <t>24GSH-24FJX90M (24GSM-24FJX90M)</t>
  </si>
  <si>
    <t>1 7/8"JIC - 1 1/2"_90 (6WIRE)</t>
  </si>
  <si>
    <t>JSF-S61-1616</t>
  </si>
  <si>
    <t>16GS-16FLH90S</t>
  </si>
  <si>
    <t xml:space="preserve">FITTING 1" Code62-1" x 90 DEG	</t>
  </si>
  <si>
    <t>JSF-S61-1620</t>
  </si>
  <si>
    <t>20GS-16FLH90S</t>
  </si>
  <si>
    <t>FITTING 1 CODE62-1 1/4-90 DEG</t>
  </si>
  <si>
    <t>JSF-S61-2020</t>
  </si>
  <si>
    <t>20GS-20FLH90M</t>
  </si>
  <si>
    <t>FITTING 1 1/4"CODE62-1 1/4"-90 (no ferrule)</t>
  </si>
  <si>
    <t>JSF-S61-2420</t>
  </si>
  <si>
    <t>FITTING 1 1/2 CODE 62-1 1/4-90 DEG</t>
  </si>
  <si>
    <t>JSF-S61-2424</t>
  </si>
  <si>
    <t>24GSH-24FLH-90 (24GSM-24FLH90-094)</t>
  </si>
  <si>
    <t>FITTING 1 1/2"CODE 62-1 1/2"-90 (6SN) (with ferrule)</t>
  </si>
  <si>
    <t>JSF-S61-2026</t>
  </si>
  <si>
    <t>1 1/4" CODE 62 - 1 5/8 JIC X 90 DEG</t>
  </si>
  <si>
    <t>JSF-S62-1616</t>
  </si>
  <si>
    <t xml:space="preserve">FITTING 1"CODE62-1"-45	</t>
  </si>
  <si>
    <t>JSF-S62-2020</t>
  </si>
  <si>
    <t>20GS-20FLH45M</t>
  </si>
  <si>
    <t>FITTING 1.1/4"CODE 62-1.1/4"-45 (no ferrule)</t>
  </si>
  <si>
    <t>JSF-S62-2424</t>
  </si>
  <si>
    <t>24GSH-24FLH45M (24GSM-24FLH45M)</t>
  </si>
  <si>
    <t>FITTING 1 1/2'' CODE62-1 1/2''-45</t>
  </si>
  <si>
    <t>JSF-S64-0904</t>
  </si>
  <si>
    <t>4G-6FJX45S</t>
  </si>
  <si>
    <t>FITTING 9/16'JIC-1/4'X45</t>
  </si>
  <si>
    <t>JSF-S64-0906</t>
  </si>
  <si>
    <t>6G-6FJX45S</t>
  </si>
  <si>
    <t>FITTING 9/16JIC-3/8" X 45</t>
  </si>
  <si>
    <t>JSF-S64-1208</t>
  </si>
  <si>
    <t>8G-8FJX45S</t>
  </si>
  <si>
    <t xml:space="preserve">FITTING 3/4JIC-1/2" X 45 DEG        </t>
  </si>
  <si>
    <t>JSF-S64-1712</t>
  </si>
  <si>
    <t>12G-12FJX45S</t>
  </si>
  <si>
    <t>FITTING 1 1/16 JIC-3/4" X 45</t>
  </si>
  <si>
    <t>JSF-S64-1712MW</t>
  </si>
  <si>
    <t>12GS-12FJX45S</t>
  </si>
  <si>
    <t>FITTING 1.1/16JIC-3/4" X 45 (4&amp;6 WIRES)</t>
  </si>
  <si>
    <t>JSF-S64-2116</t>
  </si>
  <si>
    <t>16G-16FJX45S</t>
  </si>
  <si>
    <t>FITTING 1.5/16JIC-1" X 45 DEG</t>
  </si>
  <si>
    <t>JSF-S64-2620</t>
  </si>
  <si>
    <t>1 5/8"JIC-1 1/4"_45</t>
  </si>
  <si>
    <t>JSF-12GS1F-4</t>
  </si>
  <si>
    <t>JSF-16GS1F-4</t>
  </si>
  <si>
    <t>16GS1F-4</t>
  </si>
  <si>
    <t>FERRULE 1"-4SN</t>
  </si>
  <si>
    <t>JSF-20GS1F-6</t>
  </si>
  <si>
    <t>20GS1F-6</t>
  </si>
  <si>
    <t>FERRULE 1 1/4' X 6SN</t>
  </si>
  <si>
    <t>JSF-24GSP1F-2</t>
  </si>
  <si>
    <t>24GSP1F-2</t>
  </si>
  <si>
    <t>FERRULE 1 1/2"-2SN</t>
  </si>
  <si>
    <t>17075031</t>
  </si>
  <si>
    <t>17075032</t>
  </si>
  <si>
    <t>17075033</t>
  </si>
  <si>
    <t>17070902</t>
  </si>
  <si>
    <t>17070903</t>
  </si>
  <si>
    <t>17075130</t>
  </si>
  <si>
    <t>17075034</t>
  </si>
  <si>
    <t>17075132</t>
  </si>
  <si>
    <t>17075124</t>
  </si>
  <si>
    <t>17070904</t>
  </si>
  <si>
    <t>17075125</t>
  </si>
  <si>
    <t>17070905</t>
  </si>
  <si>
    <t>17075127</t>
  </si>
  <si>
    <t>17070906</t>
  </si>
  <si>
    <t>17075129</t>
  </si>
  <si>
    <t>17071020</t>
  </si>
  <si>
    <t>17070907</t>
  </si>
  <si>
    <t>17025211</t>
  </si>
  <si>
    <t>17020903</t>
  </si>
  <si>
    <t>17071190</t>
  </si>
  <si>
    <t>17070908</t>
  </si>
  <si>
    <t>17070909</t>
  </si>
  <si>
    <t>17071071</t>
  </si>
  <si>
    <t>17070910</t>
  </si>
  <si>
    <t>17070911</t>
  </si>
  <si>
    <t>17020840</t>
  </si>
  <si>
    <t>17070912</t>
  </si>
  <si>
    <t>17020845</t>
  </si>
  <si>
    <t>17020163</t>
  </si>
  <si>
    <t>17070913</t>
  </si>
  <si>
    <t>17070914</t>
  </si>
  <si>
    <t>17070915</t>
  </si>
  <si>
    <t>17070916</t>
  </si>
  <si>
    <t>17070917</t>
  </si>
  <si>
    <t>17070918</t>
  </si>
  <si>
    <t>17020789</t>
  </si>
  <si>
    <t>17070920</t>
  </si>
  <si>
    <t>17070921</t>
  </si>
  <si>
    <t>17070922</t>
  </si>
  <si>
    <t>17070923</t>
  </si>
  <si>
    <t>17070924</t>
  </si>
  <si>
    <t>17070925</t>
  </si>
  <si>
    <t>17070926</t>
  </si>
  <si>
    <t>24GSM-24FLH</t>
  </si>
  <si>
    <t>12G-16FJX90S</t>
  </si>
  <si>
    <t>Item no</t>
  </si>
  <si>
    <t>Vendor item no</t>
  </si>
  <si>
    <t>Description</t>
  </si>
  <si>
    <t>Quantity</t>
  </si>
  <si>
    <t>20231218-A-5</t>
  </si>
  <si>
    <t>Bushes 1-1/2'', 1-1/2" Length</t>
  </si>
  <si>
    <t>PAP2030P10</t>
  </si>
  <si>
    <t>Permaglide Bush 20X30 (Old Code JSBP-PAP2030P10)</t>
  </si>
  <si>
    <t>PAP2520P10</t>
  </si>
  <si>
    <t>Bush Od 28 X Id 25 X L20 (Old Code JSBP-PAP2520P10)</t>
  </si>
  <si>
    <t>PAP4030P10</t>
  </si>
  <si>
    <t>Bushing 040 Boom Arm Body (Old Code JSBP-PAP4030P10)</t>
  </si>
  <si>
    <t>PAPZ1624P10</t>
  </si>
  <si>
    <t>Permaglide Bush Id25.4Od28.575L38.1 (Old Code JSBP-PAPZ1624P10)</t>
  </si>
  <si>
    <t>4G-4FJX90S</t>
  </si>
  <si>
    <t>20FLH6K-20MJ90</t>
  </si>
  <si>
    <t>16GS-16FLH45M</t>
  </si>
  <si>
    <t>20G-20FJX45-035</t>
  </si>
  <si>
    <t>12GS1F-4</t>
  </si>
  <si>
    <t>20GS-24FLH90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</si>
</sst>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Calibri Light"/>
      <family val="2"/>
    </font>
    <font>
      <u/>
      <sz val="12"/>
      <color theme="10"/>
      <name val="Aptos Narrow"/>
      <family val="2"/>
      <scheme val="minor"/>
    </font>
    <font>
      <b/>
      <sz val="11"/>
      <name val="Calibri Light"/>
      <family val="2"/>
    </font>
    <font>
      <sz val="11"/>
      <name val="Calibri"/>
      <family val="2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 vertical="top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5" fillId="0" borderId="6" xfId="0" applyFont="1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6" fillId="2" borderId="2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/>
    <xf numFmtId="0" fontId="0" fillId="0" borderId="2" xfId="0" applyBorder="1"/>
    <xf numFmtId="0" fontId="2" fillId="2" borderId="1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1" xfId="0" applyFont="1" applyBorder="1" applyAlignment="1" applyProtection="1">
      <alignment vertical="top"/>
      <protection locked="0"/>
    </xf>
    <xf numFmtId="0" fontId="0" fillId="0" borderId="5" xfId="0" applyBorder="1" applyAlignment="1"/>
    <xf numFmtId="0" fontId="5" fillId="0" borderId="3" xfId="0" applyFont="1" applyBorder="1" applyAlignment="1" applyProtection="1">
      <alignment vertical="top"/>
      <protection locked="0"/>
    </xf>
    <xf numFmtId="0" fontId="0" fillId="0" borderId="2" xfId="0" applyBorder="1" applyAlignment="1"/>
    <xf numFmtId="0" fontId="0" fillId="0" borderId="0" xfId="0" applyAlignment="1"/>
    <xf numFmtId="168" fontId="2" fillId="2" borderId="1" xfId="0" applyNumberFormat="1" applyFont="1" applyFill="1" applyBorder="1" applyAlignment="1">
      <alignment horizontal="center" vertical="center"/>
    </xf>
    <xf numFmtId="168" fontId="4" fillId="0" borderId="4" xfId="0" applyNumberFormat="1" applyFont="1" applyBorder="1" applyAlignment="1">
      <alignment horizontal="center" vertical="center"/>
    </xf>
    <xf numFmtId="168" fontId="0" fillId="0" borderId="2" xfId="0" applyNumberFormat="1" applyBorder="1" applyAlignment="1" applyProtection="1">
      <alignment horizontal="center" vertical="top"/>
      <protection locked="0"/>
    </xf>
    <xf numFmtId="168" fontId="0" fillId="0" borderId="2" xfId="0" applyNumberFormat="1" applyBorder="1"/>
    <xf numFmtId="168" fontId="0" fillId="0" borderId="0" xfId="0" applyNumberFormat="1"/>
    <xf numFmtId="0" fontId="0" fillId="0" borderId="2" xfId="0" applyFont="1" applyBorder="1" applyAlignment="1" applyProtection="1">
      <alignment horizontal="center" vertical="top"/>
      <protection locked="0"/>
    </xf>
    <xf numFmtId="0" fontId="0" fillId="0" borderId="2" xfId="0" applyFont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 applyProtection="1">
      <alignment horizontal="center" vertical="center"/>
      <protection locked="0"/>
    </xf>
    <xf numFmtId="168" fontId="0" fillId="0" borderId="2" xfId="0" applyNumberFormat="1" applyFont="1" applyBorder="1" applyAlignment="1" applyProtection="1">
      <alignment horizontal="center" vertical="top"/>
      <protection locked="0"/>
    </xf>
    <xf numFmtId="0" fontId="0" fillId="0" borderId="0" xfId="0" applyFont="1"/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AAE-98C2-419E-9064-38C380F7EA17}">
  <dimension ref="A1:Z86"/>
  <sheetViews>
    <sheetView tabSelected="1" topLeftCell="C1" zoomScaleNormal="100" workbookViewId="0">
      <selection activeCell="D8" sqref="D8"/>
    </sheetView>
  </sheetViews>
  <sheetFormatPr defaultRowHeight="15" x14ac:dyDescent="0.25"/>
  <cols>
    <col min="1" max="1" width="6.7109375" customWidth="1"/>
    <col min="2" max="2" width="17.42578125" customWidth="1"/>
    <col min="3" max="3" width="23.42578125" customWidth="1"/>
    <col min="4" max="4" width="32.42578125" style="32" customWidth="1"/>
    <col min="5" max="5" width="52" customWidth="1"/>
    <col min="6" max="6" width="11" bestFit="1" customWidth="1"/>
    <col min="7" max="7" width="14.5703125" bestFit="1" customWidth="1"/>
    <col min="8" max="8" width="14.7109375" bestFit="1" customWidth="1"/>
    <col min="9" max="9" width="16.7109375" customWidth="1"/>
    <col min="10" max="10" width="13.85546875" customWidth="1"/>
    <col min="11" max="11" width="8.28515625" customWidth="1"/>
    <col min="12" max="12" width="18.5703125" hidden="1" customWidth="1"/>
    <col min="13" max="13" width="31.140625" style="37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26" t="s">
        <v>3</v>
      </c>
      <c r="E1" s="1" t="s">
        <v>4</v>
      </c>
      <c r="F1" s="18"/>
      <c r="G1" s="18"/>
      <c r="H1" s="18"/>
      <c r="I1" s="19"/>
      <c r="J1" s="20"/>
      <c r="K1" s="2"/>
      <c r="L1" s="1" t="s">
        <v>5</v>
      </c>
      <c r="M1" s="33" t="s">
        <v>5</v>
      </c>
    </row>
    <row r="2" spans="1:13" x14ac:dyDescent="0.25">
      <c r="A2" s="3"/>
      <c r="B2" s="3"/>
      <c r="C2" s="3"/>
      <c r="D2" s="27"/>
      <c r="E2" s="3"/>
      <c r="F2" s="4">
        <v>1</v>
      </c>
      <c r="G2" s="4">
        <v>1</v>
      </c>
      <c r="H2" s="4">
        <v>2</v>
      </c>
      <c r="I2" s="3">
        <v>2</v>
      </c>
      <c r="J2" s="3">
        <v>1</v>
      </c>
      <c r="K2" s="3"/>
      <c r="L2" s="5"/>
      <c r="M2" s="34"/>
    </row>
    <row r="3" spans="1:13" x14ac:dyDescent="0.25">
      <c r="A3" s="6">
        <v>1</v>
      </c>
      <c r="B3" s="7" t="s">
        <v>6</v>
      </c>
      <c r="C3" s="7" t="s">
        <v>242</v>
      </c>
      <c r="D3" s="11" t="s">
        <v>7</v>
      </c>
      <c r="E3" s="7" t="s">
        <v>8</v>
      </c>
      <c r="F3" s="8">
        <v>49.92</v>
      </c>
      <c r="G3" s="8">
        <v>130</v>
      </c>
      <c r="H3" s="8">
        <v>100</v>
      </c>
      <c r="I3" s="8">
        <v>189.69</v>
      </c>
      <c r="J3" s="10">
        <v>70.760000000000005</v>
      </c>
      <c r="K3" s="10"/>
      <c r="L3" s="6">
        <f>SUM(F3:J3)</f>
        <v>540.37</v>
      </c>
      <c r="M3" s="35">
        <v>600</v>
      </c>
    </row>
    <row r="4" spans="1:13" x14ac:dyDescent="0.25">
      <c r="A4" s="6">
        <v>2</v>
      </c>
      <c r="B4" s="7" t="s">
        <v>9</v>
      </c>
      <c r="C4" s="7" t="s">
        <v>243</v>
      </c>
      <c r="D4" s="11" t="s">
        <v>10</v>
      </c>
      <c r="E4" s="7" t="s">
        <v>11</v>
      </c>
      <c r="F4" s="8">
        <v>152.83500000000001</v>
      </c>
      <c r="G4" s="8">
        <v>77</v>
      </c>
      <c r="H4" s="8">
        <v>260</v>
      </c>
      <c r="I4" s="8">
        <v>164</v>
      </c>
      <c r="J4" s="10">
        <v>94.75</v>
      </c>
      <c r="K4" s="10"/>
      <c r="L4" s="6">
        <f>SUM(F4:J4)</f>
        <v>748.58500000000004</v>
      </c>
      <c r="M4" s="35">
        <v>800</v>
      </c>
    </row>
    <row r="5" spans="1:13" x14ac:dyDescent="0.25">
      <c r="A5" s="6">
        <v>3</v>
      </c>
      <c r="B5" s="7" t="s">
        <v>12</v>
      </c>
      <c r="C5" s="7" t="s">
        <v>244</v>
      </c>
      <c r="D5" s="11" t="s">
        <v>13</v>
      </c>
      <c r="E5" s="7" t="s">
        <v>14</v>
      </c>
      <c r="F5" s="8">
        <v>77.099999999999994</v>
      </c>
      <c r="G5" s="8">
        <v>26</v>
      </c>
      <c r="H5" s="8">
        <v>160</v>
      </c>
      <c r="I5" s="8">
        <v>64</v>
      </c>
      <c r="J5" s="10">
        <v>33.68</v>
      </c>
      <c r="K5" s="10"/>
      <c r="L5" s="6">
        <f>SUM(F5:J5)</f>
        <v>360.78000000000003</v>
      </c>
      <c r="M5" s="35">
        <v>400</v>
      </c>
    </row>
    <row r="6" spans="1:13" x14ac:dyDescent="0.25">
      <c r="A6" s="6">
        <v>4</v>
      </c>
      <c r="B6" s="7" t="s">
        <v>15</v>
      </c>
      <c r="C6" s="7" t="s">
        <v>245</v>
      </c>
      <c r="D6" s="11" t="s">
        <v>16</v>
      </c>
      <c r="E6" s="7" t="s">
        <v>17</v>
      </c>
      <c r="F6" s="8">
        <v>28.349999999999998</v>
      </c>
      <c r="G6" s="8">
        <v>255</v>
      </c>
      <c r="H6" s="8">
        <v>100</v>
      </c>
      <c r="I6" s="8">
        <v>90</v>
      </c>
      <c r="J6" s="10">
        <v>14.4</v>
      </c>
      <c r="K6" s="10"/>
      <c r="L6" s="6">
        <f>SUM(F6:J6)</f>
        <v>487.75</v>
      </c>
      <c r="M6" s="35">
        <v>500</v>
      </c>
    </row>
    <row r="7" spans="1:13" x14ac:dyDescent="0.25">
      <c r="A7" s="6">
        <v>5</v>
      </c>
      <c r="B7" s="7" t="s">
        <v>18</v>
      </c>
      <c r="C7" s="7" t="s">
        <v>246</v>
      </c>
      <c r="D7" s="11" t="s">
        <v>19</v>
      </c>
      <c r="E7" s="7" t="s">
        <v>20</v>
      </c>
      <c r="F7" s="8">
        <v>14.024999999999999</v>
      </c>
      <c r="G7" s="8">
        <v>40</v>
      </c>
      <c r="H7" s="8">
        <v>74</v>
      </c>
      <c r="I7" s="8">
        <v>15</v>
      </c>
      <c r="J7" s="10">
        <v>30</v>
      </c>
      <c r="K7" s="10"/>
      <c r="L7" s="6">
        <f>SUM(F7:J7)</f>
        <v>173.02500000000001</v>
      </c>
      <c r="M7" s="35">
        <v>200</v>
      </c>
    </row>
    <row r="8" spans="1:13" x14ac:dyDescent="0.25">
      <c r="A8" s="6">
        <v>7</v>
      </c>
      <c r="B8" s="7" t="s">
        <v>21</v>
      </c>
      <c r="C8" s="7" t="s">
        <v>247</v>
      </c>
      <c r="D8" s="11" t="s">
        <v>22</v>
      </c>
      <c r="E8" s="7" t="s">
        <v>23</v>
      </c>
      <c r="F8" s="8">
        <v>0</v>
      </c>
      <c r="G8" s="8">
        <v>15</v>
      </c>
      <c r="H8" s="8">
        <v>40</v>
      </c>
      <c r="I8" s="8">
        <v>0</v>
      </c>
      <c r="J8" s="10">
        <v>18.53</v>
      </c>
      <c r="K8" s="10"/>
      <c r="L8" s="6">
        <f>SUM(F8:J8)</f>
        <v>73.53</v>
      </c>
      <c r="M8" s="35">
        <v>80</v>
      </c>
    </row>
    <row r="9" spans="1:13" x14ac:dyDescent="0.25">
      <c r="A9" s="6">
        <v>8</v>
      </c>
      <c r="B9" s="7" t="s">
        <v>24</v>
      </c>
      <c r="C9" s="7" t="s">
        <v>248</v>
      </c>
      <c r="D9" s="11" t="s">
        <v>25</v>
      </c>
      <c r="E9" s="7" t="s">
        <v>26</v>
      </c>
      <c r="F9" s="8">
        <v>46.86</v>
      </c>
      <c r="G9" s="8">
        <v>4</v>
      </c>
      <c r="H9" s="8">
        <v>96</v>
      </c>
      <c r="I9" s="8">
        <v>8</v>
      </c>
      <c r="J9" s="10">
        <v>27</v>
      </c>
      <c r="K9" s="10"/>
      <c r="L9" s="6">
        <f>SUM(F9:J9)</f>
        <v>181.86</v>
      </c>
      <c r="M9" s="35">
        <v>200</v>
      </c>
    </row>
    <row r="10" spans="1:13" x14ac:dyDescent="0.25">
      <c r="A10" s="6">
        <v>9</v>
      </c>
      <c r="B10" s="7" t="s">
        <v>27</v>
      </c>
      <c r="C10" s="7" t="s">
        <v>249</v>
      </c>
      <c r="D10" s="11" t="s">
        <v>28</v>
      </c>
      <c r="E10" s="7" t="s">
        <v>29</v>
      </c>
      <c r="F10" s="8">
        <v>53.519999999999996</v>
      </c>
      <c r="G10" s="8">
        <v>175</v>
      </c>
      <c r="H10" s="8">
        <v>130</v>
      </c>
      <c r="I10" s="8">
        <v>18</v>
      </c>
      <c r="J10" s="10">
        <v>15</v>
      </c>
      <c r="K10" s="10"/>
      <c r="L10" s="6">
        <f>SUM(F10:J10)</f>
        <v>391.52</v>
      </c>
      <c r="M10" s="35">
        <v>400</v>
      </c>
    </row>
    <row r="11" spans="1:13" x14ac:dyDescent="0.25">
      <c r="A11" s="6">
        <v>10</v>
      </c>
      <c r="B11" s="7" t="s">
        <v>30</v>
      </c>
      <c r="C11" s="7" t="s">
        <v>250</v>
      </c>
      <c r="D11" s="11" t="s">
        <v>31</v>
      </c>
      <c r="E11" s="7" t="s">
        <v>32</v>
      </c>
      <c r="F11" s="8">
        <v>23.924999999999997</v>
      </c>
      <c r="G11" s="8">
        <v>35</v>
      </c>
      <c r="H11" s="8">
        <v>80</v>
      </c>
      <c r="I11" s="8">
        <v>24</v>
      </c>
      <c r="J11" s="10">
        <v>24.56</v>
      </c>
      <c r="K11" s="10"/>
      <c r="L11" s="6">
        <f>SUM(F11:J11)</f>
        <v>187.48500000000001</v>
      </c>
      <c r="M11" s="35">
        <v>200</v>
      </c>
    </row>
    <row r="12" spans="1:13" x14ac:dyDescent="0.25">
      <c r="A12" s="6">
        <v>11</v>
      </c>
      <c r="B12" s="7" t="s">
        <v>33</v>
      </c>
      <c r="C12" s="7" t="s">
        <v>251</v>
      </c>
      <c r="D12" s="11" t="s">
        <v>34</v>
      </c>
      <c r="E12" s="11" t="s">
        <v>35</v>
      </c>
      <c r="F12" s="8">
        <v>16</v>
      </c>
      <c r="G12" s="8">
        <v>10</v>
      </c>
      <c r="H12" s="8">
        <v>10</v>
      </c>
      <c r="I12" s="8">
        <v>10</v>
      </c>
      <c r="J12" s="10">
        <v>14</v>
      </c>
      <c r="K12" s="10"/>
      <c r="L12" s="6">
        <f>SUM(F12:J12)</f>
        <v>60</v>
      </c>
      <c r="M12" s="35">
        <v>60</v>
      </c>
    </row>
    <row r="13" spans="1:13" x14ac:dyDescent="0.25">
      <c r="A13" s="6">
        <v>12</v>
      </c>
      <c r="B13" s="7" t="s">
        <v>36</v>
      </c>
      <c r="C13" s="7" t="s">
        <v>252</v>
      </c>
      <c r="D13" s="11" t="s">
        <v>37</v>
      </c>
      <c r="E13" s="11" t="s">
        <v>38</v>
      </c>
      <c r="F13" s="8">
        <v>0</v>
      </c>
      <c r="G13" s="8">
        <v>0</v>
      </c>
      <c r="H13" s="8">
        <v>0</v>
      </c>
      <c r="I13" s="8">
        <v>0</v>
      </c>
      <c r="J13" s="10">
        <v>2.5</v>
      </c>
      <c r="K13" s="10"/>
      <c r="L13" s="6">
        <f>SUM(F13:J13)</f>
        <v>2.5</v>
      </c>
      <c r="M13" s="35">
        <v>20</v>
      </c>
    </row>
    <row r="14" spans="1:13" x14ac:dyDescent="0.25">
      <c r="A14" s="6">
        <v>13</v>
      </c>
      <c r="B14" s="7" t="s">
        <v>39</v>
      </c>
      <c r="C14" s="7" t="s">
        <v>253</v>
      </c>
      <c r="D14" s="11" t="s">
        <v>40</v>
      </c>
      <c r="E14" s="11" t="s">
        <v>41</v>
      </c>
      <c r="F14" s="8">
        <v>2</v>
      </c>
      <c r="G14" s="8">
        <v>0</v>
      </c>
      <c r="H14" s="8">
        <v>0</v>
      </c>
      <c r="I14" s="8">
        <v>0</v>
      </c>
      <c r="J14" s="10">
        <v>1.8</v>
      </c>
      <c r="K14" s="10"/>
      <c r="L14" s="6">
        <f>SUM(F14:J14)</f>
        <v>3.8</v>
      </c>
      <c r="M14" s="35">
        <v>20</v>
      </c>
    </row>
    <row r="15" spans="1:13" x14ac:dyDescent="0.25">
      <c r="A15" s="6">
        <v>14</v>
      </c>
      <c r="B15" s="7" t="s">
        <v>42</v>
      </c>
      <c r="C15" s="7" t="s">
        <v>254</v>
      </c>
      <c r="D15" s="11" t="s">
        <v>43</v>
      </c>
      <c r="E15" s="11" t="s">
        <v>44</v>
      </c>
      <c r="F15" s="8">
        <v>0</v>
      </c>
      <c r="G15" s="8">
        <v>4</v>
      </c>
      <c r="H15" s="8">
        <v>30</v>
      </c>
      <c r="I15" s="8">
        <v>6</v>
      </c>
      <c r="J15" s="10">
        <v>17.2</v>
      </c>
      <c r="K15" s="10"/>
      <c r="L15" s="6">
        <f>SUM(F15:J15)</f>
        <v>57.2</v>
      </c>
      <c r="M15" s="35">
        <v>57.2</v>
      </c>
    </row>
    <row r="16" spans="1:13" x14ac:dyDescent="0.25">
      <c r="A16" s="6">
        <v>15</v>
      </c>
      <c r="B16" s="7" t="s">
        <v>45</v>
      </c>
      <c r="C16" s="7" t="s">
        <v>45</v>
      </c>
      <c r="D16" s="11" t="s">
        <v>46</v>
      </c>
      <c r="E16" s="7" t="s">
        <v>47</v>
      </c>
      <c r="F16" s="8">
        <v>2.4</v>
      </c>
      <c r="G16" s="8">
        <v>6</v>
      </c>
      <c r="H16" s="8">
        <v>12</v>
      </c>
      <c r="I16" s="8">
        <v>6</v>
      </c>
      <c r="J16" s="10">
        <v>22.5</v>
      </c>
      <c r="K16" s="10"/>
      <c r="L16" s="6">
        <f>SUM(F16:J16)</f>
        <v>48.9</v>
      </c>
      <c r="M16" s="35">
        <v>48.9</v>
      </c>
    </row>
    <row r="17" spans="1:13" x14ac:dyDescent="0.25">
      <c r="A17" s="6">
        <v>16</v>
      </c>
      <c r="B17" s="7" t="s">
        <v>48</v>
      </c>
      <c r="C17" s="7" t="s">
        <v>48</v>
      </c>
      <c r="D17" s="11" t="s">
        <v>49</v>
      </c>
      <c r="E17" s="12" t="s">
        <v>50</v>
      </c>
      <c r="F17" s="8">
        <v>18</v>
      </c>
      <c r="G17" s="8">
        <v>25</v>
      </c>
      <c r="H17" s="8">
        <v>40</v>
      </c>
      <c r="I17" s="8">
        <v>26</v>
      </c>
      <c r="J17" s="10">
        <v>8.9</v>
      </c>
      <c r="K17" s="10"/>
      <c r="L17" s="6">
        <f>SUM(F17:J17)</f>
        <v>117.9</v>
      </c>
      <c r="M17" s="35">
        <v>117.9</v>
      </c>
    </row>
    <row r="18" spans="1:13" x14ac:dyDescent="0.25">
      <c r="A18" s="6">
        <v>17</v>
      </c>
      <c r="B18" s="7" t="s">
        <v>51</v>
      </c>
      <c r="C18" s="7" t="s">
        <v>255</v>
      </c>
      <c r="D18" s="11" t="s">
        <v>52</v>
      </c>
      <c r="E18" s="7" t="s">
        <v>53</v>
      </c>
      <c r="F18" s="8">
        <v>0</v>
      </c>
      <c r="G18" s="8">
        <v>0</v>
      </c>
      <c r="H18" s="8">
        <v>0</v>
      </c>
      <c r="I18" s="8">
        <v>0</v>
      </c>
      <c r="J18" s="10">
        <v>2.82</v>
      </c>
      <c r="K18" s="10"/>
      <c r="L18" s="6">
        <f>SUM(F18:J18)</f>
        <v>2.82</v>
      </c>
      <c r="M18" s="35">
        <v>20</v>
      </c>
    </row>
    <row r="19" spans="1:13" x14ac:dyDescent="0.25">
      <c r="A19" s="6">
        <v>18</v>
      </c>
      <c r="B19" s="7" t="s">
        <v>54</v>
      </c>
      <c r="C19" s="7" t="s">
        <v>54</v>
      </c>
      <c r="D19" s="11" t="s">
        <v>55</v>
      </c>
      <c r="E19" s="7" t="s">
        <v>56</v>
      </c>
      <c r="F19" s="8">
        <v>2.5649999999999999</v>
      </c>
      <c r="G19" s="8">
        <v>5</v>
      </c>
      <c r="H19" s="8">
        <v>0</v>
      </c>
      <c r="I19" s="8">
        <v>6</v>
      </c>
      <c r="J19" s="10">
        <v>8</v>
      </c>
      <c r="K19" s="10"/>
      <c r="L19" s="6">
        <f>SUM(F19:J19)</f>
        <v>21.564999999999998</v>
      </c>
      <c r="M19" s="35">
        <v>21.564999999999998</v>
      </c>
    </row>
    <row r="20" spans="1:13" x14ac:dyDescent="0.25">
      <c r="A20" s="6">
        <v>19</v>
      </c>
      <c r="B20" s="7" t="s">
        <v>57</v>
      </c>
      <c r="C20" s="7" t="s">
        <v>57</v>
      </c>
      <c r="D20" s="11" t="s">
        <v>58</v>
      </c>
      <c r="E20" s="7" t="s">
        <v>59</v>
      </c>
      <c r="F20" s="8">
        <v>7.9</v>
      </c>
      <c r="G20" s="8">
        <v>2</v>
      </c>
      <c r="H20" s="8">
        <v>8</v>
      </c>
      <c r="I20" s="8">
        <v>6</v>
      </c>
      <c r="J20" s="10">
        <v>17.97</v>
      </c>
      <c r="K20" s="10"/>
      <c r="L20" s="6">
        <f>SUM(F20:J20)</f>
        <v>41.87</v>
      </c>
      <c r="M20" s="35">
        <v>41.87</v>
      </c>
    </row>
    <row r="21" spans="1:13" x14ac:dyDescent="0.25">
      <c r="A21" s="6">
        <v>22</v>
      </c>
      <c r="B21" s="7" t="s">
        <v>60</v>
      </c>
      <c r="C21" s="7" t="s">
        <v>60</v>
      </c>
      <c r="D21" s="11" t="s">
        <v>61</v>
      </c>
      <c r="E21" s="7" t="s">
        <v>62</v>
      </c>
      <c r="F21" s="8">
        <v>2.3250000000000002</v>
      </c>
      <c r="G21" s="8">
        <v>11</v>
      </c>
      <c r="H21" s="8">
        <v>12</v>
      </c>
      <c r="I21" s="8">
        <v>10</v>
      </c>
      <c r="J21" s="10">
        <v>6.3</v>
      </c>
      <c r="K21" s="10"/>
      <c r="L21" s="6">
        <f>SUM(F21:J21)</f>
        <v>41.625</v>
      </c>
      <c r="M21" s="35">
        <v>41.625</v>
      </c>
    </row>
    <row r="22" spans="1:13" x14ac:dyDescent="0.25">
      <c r="A22" s="6">
        <v>23</v>
      </c>
      <c r="B22" s="7" t="s">
        <v>63</v>
      </c>
      <c r="C22" s="7" t="s">
        <v>63</v>
      </c>
      <c r="D22" s="11" t="s">
        <v>64</v>
      </c>
      <c r="E22" s="7" t="s">
        <v>65</v>
      </c>
      <c r="F22" s="8">
        <v>1.7</v>
      </c>
      <c r="G22" s="8">
        <v>12</v>
      </c>
      <c r="H22" s="8">
        <v>0</v>
      </c>
      <c r="I22" s="8">
        <v>0</v>
      </c>
      <c r="J22" s="10">
        <v>2.6</v>
      </c>
      <c r="K22" s="10"/>
      <c r="L22" s="6">
        <f>SUM(F22:J22)</f>
        <v>16.3</v>
      </c>
      <c r="M22" s="35">
        <v>16.3</v>
      </c>
    </row>
    <row r="23" spans="1:13" x14ac:dyDescent="0.25">
      <c r="A23" s="6">
        <v>24</v>
      </c>
      <c r="B23" s="7" t="s">
        <v>66</v>
      </c>
      <c r="C23" s="7" t="s">
        <v>256</v>
      </c>
      <c r="D23" s="11" t="s">
        <v>67</v>
      </c>
      <c r="E23" s="7" t="s">
        <v>68</v>
      </c>
      <c r="F23" s="8">
        <v>9.375</v>
      </c>
      <c r="G23" s="8">
        <v>0</v>
      </c>
      <c r="H23" s="8">
        <v>0</v>
      </c>
      <c r="I23" s="8">
        <v>0</v>
      </c>
      <c r="J23" s="10">
        <v>50.19</v>
      </c>
      <c r="K23" s="10"/>
      <c r="L23" s="6">
        <f>SUM(F23:J23)</f>
        <v>59.564999999999998</v>
      </c>
      <c r="M23" s="35">
        <v>59.564999999999998</v>
      </c>
    </row>
    <row r="24" spans="1:13" x14ac:dyDescent="0.25">
      <c r="A24" s="6">
        <v>25</v>
      </c>
      <c r="B24" s="7" t="s">
        <v>69</v>
      </c>
      <c r="C24" s="7" t="s">
        <v>69</v>
      </c>
      <c r="D24" s="11" t="s">
        <v>70</v>
      </c>
      <c r="E24" s="7" t="s">
        <v>71</v>
      </c>
      <c r="F24" s="8">
        <v>5.0999999999999996</v>
      </c>
      <c r="G24" s="8">
        <v>6</v>
      </c>
      <c r="H24" s="8">
        <v>8</v>
      </c>
      <c r="I24" s="8">
        <v>6</v>
      </c>
      <c r="J24" s="10">
        <v>0</v>
      </c>
      <c r="K24" s="10"/>
      <c r="L24" s="6">
        <f>SUM(F24:J24)</f>
        <v>25.1</v>
      </c>
      <c r="M24" s="35">
        <v>25.1</v>
      </c>
    </row>
    <row r="25" spans="1:13" x14ac:dyDescent="0.25">
      <c r="A25" s="6">
        <v>26</v>
      </c>
      <c r="B25" s="7" t="s">
        <v>72</v>
      </c>
      <c r="C25" s="7" t="s">
        <v>72</v>
      </c>
      <c r="D25" s="11" t="s">
        <v>73</v>
      </c>
      <c r="E25" s="7" t="s">
        <v>73</v>
      </c>
      <c r="F25" s="8">
        <v>0</v>
      </c>
      <c r="G25" s="8">
        <v>10</v>
      </c>
      <c r="H25" s="8">
        <v>20</v>
      </c>
      <c r="I25" s="8">
        <v>0</v>
      </c>
      <c r="J25" s="10">
        <v>10</v>
      </c>
      <c r="K25" s="10"/>
      <c r="L25" s="6">
        <f>SUM(F25:J25)</f>
        <v>40</v>
      </c>
      <c r="M25" s="35">
        <v>100</v>
      </c>
    </row>
    <row r="26" spans="1:13" x14ac:dyDescent="0.25">
      <c r="A26" s="6">
        <v>27</v>
      </c>
      <c r="B26" s="7" t="s">
        <v>74</v>
      </c>
      <c r="C26" s="7" t="s">
        <v>74</v>
      </c>
      <c r="D26" s="11" t="s">
        <v>75</v>
      </c>
      <c r="E26" s="7" t="s">
        <v>75</v>
      </c>
      <c r="F26" s="8">
        <v>0</v>
      </c>
      <c r="G26" s="8">
        <v>10</v>
      </c>
      <c r="H26" s="8">
        <v>20</v>
      </c>
      <c r="I26" s="8">
        <v>0</v>
      </c>
      <c r="J26" s="10">
        <v>0</v>
      </c>
      <c r="K26" s="10"/>
      <c r="L26" s="6">
        <f>SUM(F26:J26)</f>
        <v>30</v>
      </c>
      <c r="M26" s="35">
        <v>100</v>
      </c>
    </row>
    <row r="27" spans="1:13" x14ac:dyDescent="0.25">
      <c r="A27" s="6">
        <v>28</v>
      </c>
      <c r="B27" s="7" t="s">
        <v>76</v>
      </c>
      <c r="C27" s="7" t="s">
        <v>76</v>
      </c>
      <c r="D27" s="11" t="s">
        <v>77</v>
      </c>
      <c r="E27" s="7" t="s">
        <v>77</v>
      </c>
      <c r="F27" s="8">
        <v>0</v>
      </c>
      <c r="G27" s="8">
        <v>10</v>
      </c>
      <c r="H27" s="8">
        <v>20</v>
      </c>
      <c r="I27" s="8">
        <v>0</v>
      </c>
      <c r="J27" s="10">
        <v>0</v>
      </c>
      <c r="K27" s="10"/>
      <c r="L27" s="6">
        <f>SUM(F27:J27)</f>
        <v>30</v>
      </c>
      <c r="M27" s="35">
        <v>50</v>
      </c>
    </row>
    <row r="28" spans="1:13" x14ac:dyDescent="0.25">
      <c r="A28" s="6">
        <v>29</v>
      </c>
      <c r="B28" s="7" t="s">
        <v>78</v>
      </c>
      <c r="C28" s="7" t="s">
        <v>78</v>
      </c>
      <c r="D28" s="11" t="s">
        <v>79</v>
      </c>
      <c r="E28" s="7" t="s">
        <v>79</v>
      </c>
      <c r="F28" s="8">
        <v>0</v>
      </c>
      <c r="G28" s="8">
        <v>10</v>
      </c>
      <c r="H28" s="8">
        <v>20</v>
      </c>
      <c r="I28" s="8">
        <v>0</v>
      </c>
      <c r="J28" s="10">
        <v>15</v>
      </c>
      <c r="K28" s="10"/>
      <c r="L28" s="6">
        <f>SUM(F28:J28)</f>
        <v>45</v>
      </c>
      <c r="M28" s="35">
        <v>50</v>
      </c>
    </row>
    <row r="29" spans="1:13" x14ac:dyDescent="0.25">
      <c r="A29" s="6">
        <v>31</v>
      </c>
      <c r="B29" s="7" t="s">
        <v>80</v>
      </c>
      <c r="C29" s="7" t="s">
        <v>80</v>
      </c>
      <c r="D29" s="11" t="s">
        <v>81</v>
      </c>
      <c r="E29" s="7" t="s">
        <v>82</v>
      </c>
      <c r="F29" s="8">
        <v>0</v>
      </c>
      <c r="G29" s="8">
        <v>0</v>
      </c>
      <c r="H29" s="8">
        <v>8</v>
      </c>
      <c r="I29" s="8">
        <v>0</v>
      </c>
      <c r="J29" s="10">
        <v>10</v>
      </c>
      <c r="K29" s="10"/>
      <c r="L29" s="6">
        <f>SUM(F29:J29)</f>
        <v>18</v>
      </c>
      <c r="M29" s="35">
        <v>500</v>
      </c>
    </row>
    <row r="30" spans="1:13" x14ac:dyDescent="0.25">
      <c r="A30" s="6">
        <v>32</v>
      </c>
      <c r="B30" s="7" t="s">
        <v>83</v>
      </c>
      <c r="C30" s="7" t="s">
        <v>83</v>
      </c>
      <c r="D30" s="11" t="s">
        <v>84</v>
      </c>
      <c r="E30" s="7" t="s">
        <v>85</v>
      </c>
      <c r="F30" s="8">
        <v>0</v>
      </c>
      <c r="G30" s="8">
        <v>0</v>
      </c>
      <c r="H30" s="8">
        <v>20</v>
      </c>
      <c r="I30" s="8">
        <v>0</v>
      </c>
      <c r="J30" s="10">
        <v>20</v>
      </c>
      <c r="K30" s="10"/>
      <c r="L30" s="6">
        <f>SUM(F30:J30)</f>
        <v>40</v>
      </c>
      <c r="M30" s="35">
        <v>300</v>
      </c>
    </row>
    <row r="31" spans="1:13" x14ac:dyDescent="0.25">
      <c r="A31" s="6">
        <v>33</v>
      </c>
      <c r="B31" s="7" t="s">
        <v>86</v>
      </c>
      <c r="C31" s="7" t="s">
        <v>86</v>
      </c>
      <c r="D31" s="11" t="s">
        <v>87</v>
      </c>
      <c r="E31" s="7" t="s">
        <v>88</v>
      </c>
      <c r="F31" s="8">
        <v>5</v>
      </c>
      <c r="G31" s="8">
        <v>5</v>
      </c>
      <c r="H31" s="8">
        <v>5</v>
      </c>
      <c r="I31" s="8">
        <v>5</v>
      </c>
      <c r="J31" s="10">
        <v>5</v>
      </c>
      <c r="K31" s="10"/>
      <c r="L31" s="6">
        <f>SUM(F31:J31)</f>
        <v>25</v>
      </c>
      <c r="M31" s="35">
        <v>200</v>
      </c>
    </row>
    <row r="32" spans="1:13" x14ac:dyDescent="0.25">
      <c r="A32" s="6">
        <v>34</v>
      </c>
      <c r="B32" s="7" t="s">
        <v>89</v>
      </c>
      <c r="C32" s="7" t="s">
        <v>89</v>
      </c>
      <c r="D32" s="11" t="s">
        <v>90</v>
      </c>
      <c r="E32" s="7" t="s">
        <v>91</v>
      </c>
      <c r="F32" s="8">
        <v>0</v>
      </c>
      <c r="G32" s="8">
        <v>20</v>
      </c>
      <c r="H32" s="8">
        <v>40</v>
      </c>
      <c r="I32" s="8">
        <v>0</v>
      </c>
      <c r="J32" s="10">
        <v>12</v>
      </c>
      <c r="K32" s="10"/>
      <c r="L32" s="6">
        <f>SUM(F32:J32)</f>
        <v>72</v>
      </c>
      <c r="M32" s="35">
        <v>100</v>
      </c>
    </row>
    <row r="33" spans="1:13" x14ac:dyDescent="0.25">
      <c r="A33" s="6">
        <v>35</v>
      </c>
      <c r="B33" s="7" t="s">
        <v>92</v>
      </c>
      <c r="C33" s="7" t="s">
        <v>92</v>
      </c>
      <c r="D33" s="11" t="s">
        <v>93</v>
      </c>
      <c r="E33" s="7" t="s">
        <v>94</v>
      </c>
      <c r="F33" s="8">
        <v>0</v>
      </c>
      <c r="G33" s="8">
        <v>15</v>
      </c>
      <c r="H33" s="8">
        <v>20</v>
      </c>
      <c r="I33" s="8">
        <v>0</v>
      </c>
      <c r="J33" s="10">
        <v>15</v>
      </c>
      <c r="K33" s="10"/>
      <c r="L33" s="6">
        <f>SUM(F33:J33)</f>
        <v>50</v>
      </c>
      <c r="M33" s="35">
        <v>100</v>
      </c>
    </row>
    <row r="34" spans="1:13" x14ac:dyDescent="0.25">
      <c r="A34" s="6">
        <v>36</v>
      </c>
      <c r="B34" s="7" t="s">
        <v>95</v>
      </c>
      <c r="C34" s="7" t="s">
        <v>257</v>
      </c>
      <c r="D34" s="11" t="s">
        <v>96</v>
      </c>
      <c r="E34" s="7" t="s">
        <v>97</v>
      </c>
      <c r="F34" s="8">
        <v>40</v>
      </c>
      <c r="G34" s="8">
        <v>100</v>
      </c>
      <c r="H34" s="8">
        <v>104</v>
      </c>
      <c r="I34" s="8">
        <v>128</v>
      </c>
      <c r="J34" s="10">
        <v>66</v>
      </c>
      <c r="K34" s="10"/>
      <c r="L34" s="6">
        <f>SUM(F34:J34)</f>
        <v>438</v>
      </c>
      <c r="M34" s="35">
        <v>438</v>
      </c>
    </row>
    <row r="35" spans="1:13" x14ac:dyDescent="0.25">
      <c r="A35" s="6">
        <v>37</v>
      </c>
      <c r="B35" s="7" t="s">
        <v>98</v>
      </c>
      <c r="C35" s="7" t="s">
        <v>258</v>
      </c>
      <c r="D35" s="11" t="s">
        <v>99</v>
      </c>
      <c r="E35" s="7" t="s">
        <v>100</v>
      </c>
      <c r="F35" s="8">
        <v>200</v>
      </c>
      <c r="G35" s="8">
        <v>94</v>
      </c>
      <c r="H35" s="8">
        <v>136</v>
      </c>
      <c r="I35" s="8">
        <v>160</v>
      </c>
      <c r="J35" s="10">
        <v>78</v>
      </c>
      <c r="K35" s="10"/>
      <c r="L35" s="6">
        <f>SUM(F35:J35)</f>
        <v>668</v>
      </c>
      <c r="M35" s="35">
        <v>668</v>
      </c>
    </row>
    <row r="36" spans="1:13" x14ac:dyDescent="0.25">
      <c r="A36" s="6">
        <v>38</v>
      </c>
      <c r="B36" s="7" t="s">
        <v>101</v>
      </c>
      <c r="C36" s="7" t="s">
        <v>259</v>
      </c>
      <c r="D36" s="11" t="s">
        <v>102</v>
      </c>
      <c r="E36" s="7" t="s">
        <v>103</v>
      </c>
      <c r="F36" s="8">
        <v>120</v>
      </c>
      <c r="G36" s="8">
        <v>338</v>
      </c>
      <c r="H36" s="8">
        <v>182</v>
      </c>
      <c r="I36" s="8">
        <v>72</v>
      </c>
      <c r="J36" s="10">
        <v>102</v>
      </c>
      <c r="K36" s="10"/>
      <c r="L36" s="6">
        <f>SUM(F36:J36)</f>
        <v>814</v>
      </c>
      <c r="M36" s="35">
        <v>814</v>
      </c>
    </row>
    <row r="37" spans="1:13" x14ac:dyDescent="0.25">
      <c r="A37" s="6">
        <v>39</v>
      </c>
      <c r="B37" s="7" t="s">
        <v>104</v>
      </c>
      <c r="C37" s="7" t="s">
        <v>104</v>
      </c>
      <c r="D37" s="11" t="s">
        <v>105</v>
      </c>
      <c r="E37" s="7" t="s">
        <v>106</v>
      </c>
      <c r="F37" s="8">
        <v>6</v>
      </c>
      <c r="G37" s="8">
        <v>2</v>
      </c>
      <c r="H37" s="8">
        <v>6</v>
      </c>
      <c r="I37" s="8">
        <v>0</v>
      </c>
      <c r="J37" s="10">
        <v>16</v>
      </c>
      <c r="K37" s="10"/>
      <c r="L37" s="6">
        <f>SUM(F37:J37)</f>
        <v>30</v>
      </c>
      <c r="M37" s="35">
        <v>30</v>
      </c>
    </row>
    <row r="38" spans="1:13" x14ac:dyDescent="0.25">
      <c r="A38" s="6">
        <v>40</v>
      </c>
      <c r="B38" s="7" t="s">
        <v>107</v>
      </c>
      <c r="C38" s="7" t="s">
        <v>260</v>
      </c>
      <c r="D38" s="11" t="s">
        <v>108</v>
      </c>
      <c r="E38" s="7" t="s">
        <v>109</v>
      </c>
      <c r="F38" s="8">
        <v>70</v>
      </c>
      <c r="G38" s="8">
        <v>110</v>
      </c>
      <c r="H38" s="8">
        <v>82</v>
      </c>
      <c r="I38" s="8">
        <v>44</v>
      </c>
      <c r="J38" s="10">
        <v>28</v>
      </c>
      <c r="K38" s="10"/>
      <c r="L38" s="6">
        <f>SUM(F38:J38)</f>
        <v>334</v>
      </c>
      <c r="M38" s="35">
        <v>334</v>
      </c>
    </row>
    <row r="39" spans="1:13" x14ac:dyDescent="0.25">
      <c r="A39" s="6">
        <v>42</v>
      </c>
      <c r="B39" s="7" t="s">
        <v>110</v>
      </c>
      <c r="C39" s="7" t="s">
        <v>261</v>
      </c>
      <c r="D39" s="11" t="s">
        <v>111</v>
      </c>
      <c r="E39" s="7" t="s">
        <v>112</v>
      </c>
      <c r="F39" s="8">
        <v>1</v>
      </c>
      <c r="G39" s="8">
        <v>2</v>
      </c>
      <c r="H39" s="8">
        <v>0</v>
      </c>
      <c r="I39" s="8">
        <v>2</v>
      </c>
      <c r="J39" s="10">
        <v>38</v>
      </c>
      <c r="K39" s="10"/>
      <c r="L39" s="6">
        <f>SUM(F39:J39)</f>
        <v>43</v>
      </c>
      <c r="M39" s="35">
        <v>43</v>
      </c>
    </row>
    <row r="40" spans="1:13" x14ac:dyDescent="0.25">
      <c r="A40" s="6">
        <v>43</v>
      </c>
      <c r="B40" s="7" t="s">
        <v>113</v>
      </c>
      <c r="C40" s="7" t="s">
        <v>262</v>
      </c>
      <c r="D40" s="11" t="s">
        <v>114</v>
      </c>
      <c r="E40" s="7" t="s">
        <v>115</v>
      </c>
      <c r="F40" s="8">
        <v>7</v>
      </c>
      <c r="G40" s="8">
        <v>89</v>
      </c>
      <c r="H40" s="8">
        <v>56</v>
      </c>
      <c r="I40" s="8">
        <v>30</v>
      </c>
      <c r="J40" s="10">
        <v>54</v>
      </c>
      <c r="K40" s="10"/>
      <c r="L40" s="6">
        <f>SUM(F40:J40)</f>
        <v>236</v>
      </c>
      <c r="M40" s="35">
        <v>236</v>
      </c>
    </row>
    <row r="41" spans="1:13" x14ac:dyDescent="0.25">
      <c r="A41" s="6">
        <v>44</v>
      </c>
      <c r="B41" s="7" t="s">
        <v>116</v>
      </c>
      <c r="C41" s="7" t="s">
        <v>263</v>
      </c>
      <c r="D41" s="11" t="s">
        <v>117</v>
      </c>
      <c r="E41" s="7" t="s">
        <v>118</v>
      </c>
      <c r="F41" s="8">
        <v>3</v>
      </c>
      <c r="G41" s="8">
        <v>5</v>
      </c>
      <c r="H41" s="8">
        <v>10</v>
      </c>
      <c r="I41" s="8">
        <v>0</v>
      </c>
      <c r="J41" s="10">
        <v>13</v>
      </c>
      <c r="K41" s="10"/>
      <c r="L41" s="6">
        <f>SUM(F41:J41)</f>
        <v>31</v>
      </c>
      <c r="M41" s="35">
        <v>31</v>
      </c>
    </row>
    <row r="42" spans="1:13" x14ac:dyDescent="0.25">
      <c r="A42" s="6">
        <v>46</v>
      </c>
      <c r="B42" s="7" t="s">
        <v>119</v>
      </c>
      <c r="C42" s="7" t="s">
        <v>264</v>
      </c>
      <c r="D42" s="11" t="s">
        <v>120</v>
      </c>
      <c r="E42" s="7" t="s">
        <v>121</v>
      </c>
      <c r="F42" s="8">
        <v>1</v>
      </c>
      <c r="G42" s="8">
        <v>5</v>
      </c>
      <c r="H42" s="8">
        <v>0</v>
      </c>
      <c r="I42" s="8">
        <v>0</v>
      </c>
      <c r="J42" s="10">
        <v>0</v>
      </c>
      <c r="K42" s="10"/>
      <c r="L42" s="6">
        <f>SUM(F42:J42)</f>
        <v>6</v>
      </c>
      <c r="M42" s="35">
        <v>6</v>
      </c>
    </row>
    <row r="43" spans="1:13" x14ac:dyDescent="0.25">
      <c r="A43" s="6">
        <v>47</v>
      </c>
      <c r="B43" s="7" t="s">
        <v>122</v>
      </c>
      <c r="C43" s="7" t="s">
        <v>265</v>
      </c>
      <c r="D43" s="11" t="s">
        <v>123</v>
      </c>
      <c r="E43" s="7" t="s">
        <v>124</v>
      </c>
      <c r="F43" s="8">
        <v>10</v>
      </c>
      <c r="G43" s="8">
        <v>19</v>
      </c>
      <c r="H43" s="8">
        <v>24</v>
      </c>
      <c r="I43" s="8">
        <v>10</v>
      </c>
      <c r="J43" s="10">
        <v>29</v>
      </c>
      <c r="K43" s="10"/>
      <c r="L43" s="6">
        <f>SUM(F43:J43)</f>
        <v>92</v>
      </c>
      <c r="M43" s="35">
        <v>92</v>
      </c>
    </row>
    <row r="44" spans="1:13" x14ac:dyDescent="0.25">
      <c r="A44" s="6">
        <v>48</v>
      </c>
      <c r="B44" s="7" t="s">
        <v>125</v>
      </c>
      <c r="C44" s="7" t="s">
        <v>266</v>
      </c>
      <c r="D44" s="11" t="s">
        <v>126</v>
      </c>
      <c r="E44" s="7" t="s">
        <v>127</v>
      </c>
      <c r="F44" s="8">
        <v>0</v>
      </c>
      <c r="G44" s="8">
        <v>2</v>
      </c>
      <c r="H44" s="8">
        <v>0</v>
      </c>
      <c r="I44" s="8">
        <v>4</v>
      </c>
      <c r="J44" s="10">
        <v>0</v>
      </c>
      <c r="K44" s="10"/>
      <c r="L44" s="6">
        <f>SUM(F44:J44)</f>
        <v>6</v>
      </c>
      <c r="M44" s="35">
        <v>6</v>
      </c>
    </row>
    <row r="45" spans="1:13" x14ac:dyDescent="0.25">
      <c r="A45" s="6">
        <v>49</v>
      </c>
      <c r="B45" s="7" t="s">
        <v>128</v>
      </c>
      <c r="C45" s="7" t="s">
        <v>128</v>
      </c>
      <c r="D45" s="11" t="s">
        <v>129</v>
      </c>
      <c r="E45" s="7" t="s">
        <v>130</v>
      </c>
      <c r="F45" s="8">
        <v>0</v>
      </c>
      <c r="G45" s="8">
        <v>4</v>
      </c>
      <c r="H45" s="8">
        <v>0</v>
      </c>
      <c r="I45" s="8">
        <v>8</v>
      </c>
      <c r="J45" s="10">
        <v>0</v>
      </c>
      <c r="K45" s="10"/>
      <c r="L45" s="6">
        <f>SUM(F45:J45)</f>
        <v>12</v>
      </c>
      <c r="M45" s="35">
        <v>12</v>
      </c>
    </row>
    <row r="46" spans="1:13" x14ac:dyDescent="0.25">
      <c r="A46" s="6">
        <v>50</v>
      </c>
      <c r="B46" s="7" t="s">
        <v>131</v>
      </c>
      <c r="C46" s="7" t="s">
        <v>131</v>
      </c>
      <c r="D46" s="11" t="s">
        <v>132</v>
      </c>
      <c r="E46" s="7" t="s">
        <v>133</v>
      </c>
      <c r="F46" s="8">
        <v>4</v>
      </c>
      <c r="G46" s="8">
        <v>10</v>
      </c>
      <c r="H46" s="8">
        <v>8</v>
      </c>
      <c r="I46" s="8">
        <v>4</v>
      </c>
      <c r="J46" s="10">
        <v>8</v>
      </c>
      <c r="K46" s="10"/>
      <c r="L46" s="6">
        <f>SUM(F46:J46)</f>
        <v>34</v>
      </c>
      <c r="M46" s="35">
        <v>34</v>
      </c>
    </row>
    <row r="47" spans="1:13" x14ac:dyDescent="0.25">
      <c r="A47" s="6">
        <v>51</v>
      </c>
      <c r="B47" s="7" t="s">
        <v>134</v>
      </c>
      <c r="C47" s="7" t="s">
        <v>267</v>
      </c>
      <c r="D47" s="11" t="s">
        <v>135</v>
      </c>
      <c r="E47" s="7" t="s">
        <v>136</v>
      </c>
      <c r="F47" s="8">
        <v>2</v>
      </c>
      <c r="G47" s="8">
        <v>6</v>
      </c>
      <c r="H47" s="8">
        <v>4</v>
      </c>
      <c r="I47" s="8">
        <v>4</v>
      </c>
      <c r="J47" s="10">
        <v>3</v>
      </c>
      <c r="K47" s="10"/>
      <c r="L47" s="6">
        <f>SUM(F47:J47)</f>
        <v>19</v>
      </c>
      <c r="M47" s="35">
        <v>19</v>
      </c>
    </row>
    <row r="48" spans="1:13" x14ac:dyDescent="0.25">
      <c r="A48" s="6">
        <v>52</v>
      </c>
      <c r="B48" s="7" t="s">
        <v>137</v>
      </c>
      <c r="C48" s="7" t="s">
        <v>268</v>
      </c>
      <c r="D48" s="11" t="s">
        <v>138</v>
      </c>
      <c r="E48" s="7" t="s">
        <v>139</v>
      </c>
      <c r="F48" s="8">
        <v>1</v>
      </c>
      <c r="G48" s="8">
        <v>19</v>
      </c>
      <c r="H48" s="8">
        <v>0</v>
      </c>
      <c r="I48" s="8">
        <v>0</v>
      </c>
      <c r="J48" s="10">
        <v>4</v>
      </c>
      <c r="K48" s="10"/>
      <c r="L48" s="6">
        <f>SUM(F48:J48)</f>
        <v>24</v>
      </c>
      <c r="M48" s="35">
        <v>24</v>
      </c>
    </row>
    <row r="49" spans="1:13" x14ac:dyDescent="0.25">
      <c r="A49" s="6">
        <v>53</v>
      </c>
      <c r="B49" s="7" t="s">
        <v>140</v>
      </c>
      <c r="C49" s="7" t="s">
        <v>269</v>
      </c>
      <c r="D49" s="11" t="s">
        <v>141</v>
      </c>
      <c r="E49" s="7" t="s">
        <v>142</v>
      </c>
      <c r="F49" s="8">
        <v>1</v>
      </c>
      <c r="G49" s="8">
        <v>2</v>
      </c>
      <c r="H49" s="8">
        <v>2</v>
      </c>
      <c r="I49" s="8">
        <v>0</v>
      </c>
      <c r="J49" s="10">
        <v>0</v>
      </c>
      <c r="K49" s="10"/>
      <c r="L49" s="6">
        <f>SUM(F49:J49)</f>
        <v>5</v>
      </c>
      <c r="M49" s="35">
        <v>5</v>
      </c>
    </row>
    <row r="50" spans="1:13" x14ac:dyDescent="0.25">
      <c r="A50" s="6">
        <v>55</v>
      </c>
      <c r="B50" s="7" t="s">
        <v>143</v>
      </c>
      <c r="C50" s="7" t="s">
        <v>143</v>
      </c>
      <c r="D50" s="11" t="s">
        <v>144</v>
      </c>
      <c r="E50" s="7" t="s">
        <v>145</v>
      </c>
      <c r="F50" s="8">
        <v>0</v>
      </c>
      <c r="G50" s="8">
        <v>0</v>
      </c>
      <c r="H50" s="8">
        <v>0</v>
      </c>
      <c r="I50" s="8">
        <v>0</v>
      </c>
      <c r="J50" s="10">
        <v>9</v>
      </c>
      <c r="K50" s="10"/>
      <c r="L50" s="6">
        <f>SUM(F50:J50)</f>
        <v>9</v>
      </c>
      <c r="M50" s="35">
        <v>9</v>
      </c>
    </row>
    <row r="51" spans="1:13" x14ac:dyDescent="0.25">
      <c r="A51" s="6">
        <v>56</v>
      </c>
      <c r="B51" s="7" t="s">
        <v>146</v>
      </c>
      <c r="C51" s="7" t="s">
        <v>270</v>
      </c>
      <c r="D51" s="11" t="s">
        <v>147</v>
      </c>
      <c r="E51" s="7" t="s">
        <v>148</v>
      </c>
      <c r="F51" s="8">
        <v>2</v>
      </c>
      <c r="G51" s="8">
        <v>4</v>
      </c>
      <c r="H51" s="8">
        <v>4</v>
      </c>
      <c r="I51" s="8">
        <v>4</v>
      </c>
      <c r="J51" s="10">
        <v>0</v>
      </c>
      <c r="K51" s="10"/>
      <c r="L51" s="6">
        <f>SUM(F51:J51)</f>
        <v>14</v>
      </c>
      <c r="M51" s="35">
        <v>14</v>
      </c>
    </row>
    <row r="52" spans="1:13" x14ac:dyDescent="0.25">
      <c r="A52" s="6">
        <v>57</v>
      </c>
      <c r="B52" s="7" t="s">
        <v>149</v>
      </c>
      <c r="C52" s="7" t="s">
        <v>149</v>
      </c>
      <c r="D52" s="9" t="s">
        <v>285</v>
      </c>
      <c r="E52" s="7" t="s">
        <v>150</v>
      </c>
      <c r="F52" s="8">
        <v>3</v>
      </c>
      <c r="G52" s="8">
        <v>2</v>
      </c>
      <c r="H52" s="8">
        <v>2</v>
      </c>
      <c r="I52" s="8">
        <v>4</v>
      </c>
      <c r="J52" s="10">
        <v>0</v>
      </c>
      <c r="K52" s="10"/>
      <c r="L52" s="6">
        <f>SUM(F52:J52)</f>
        <v>11</v>
      </c>
      <c r="M52" s="35">
        <v>11</v>
      </c>
    </row>
    <row r="53" spans="1:13" x14ac:dyDescent="0.25">
      <c r="A53" s="6">
        <v>60</v>
      </c>
      <c r="B53" s="7" t="s">
        <v>151</v>
      </c>
      <c r="C53" s="7" t="s">
        <v>151</v>
      </c>
      <c r="D53" s="11" t="s">
        <v>301</v>
      </c>
      <c r="E53" s="7" t="s">
        <v>152</v>
      </c>
      <c r="F53" s="8">
        <v>6</v>
      </c>
      <c r="G53" s="8">
        <v>32</v>
      </c>
      <c r="H53" s="8">
        <v>18</v>
      </c>
      <c r="I53" s="8">
        <v>26</v>
      </c>
      <c r="J53" s="10">
        <v>16</v>
      </c>
      <c r="K53" s="10"/>
      <c r="L53" s="6">
        <f>SUM(F53:J53)</f>
        <v>98</v>
      </c>
      <c r="M53" s="35">
        <v>98</v>
      </c>
    </row>
    <row r="54" spans="1:13" x14ac:dyDescent="0.25">
      <c r="A54" s="6">
        <v>61</v>
      </c>
      <c r="B54" s="7" t="s">
        <v>153</v>
      </c>
      <c r="C54" s="7" t="s">
        <v>271</v>
      </c>
      <c r="D54" s="11" t="s">
        <v>154</v>
      </c>
      <c r="E54" s="7" t="s">
        <v>155</v>
      </c>
      <c r="F54" s="8">
        <v>40</v>
      </c>
      <c r="G54" s="8">
        <v>0</v>
      </c>
      <c r="H54" s="8">
        <v>22</v>
      </c>
      <c r="I54" s="8">
        <v>20</v>
      </c>
      <c r="J54" s="10">
        <v>28</v>
      </c>
      <c r="K54" s="10"/>
      <c r="L54" s="6">
        <f>SUM(F54:J54)</f>
        <v>110</v>
      </c>
      <c r="M54" s="35">
        <v>110</v>
      </c>
    </row>
    <row r="55" spans="1:13" x14ac:dyDescent="0.25">
      <c r="A55" s="6">
        <v>62</v>
      </c>
      <c r="B55" s="7" t="s">
        <v>156</v>
      </c>
      <c r="C55" s="7" t="s">
        <v>272</v>
      </c>
      <c r="D55" s="11" t="s">
        <v>157</v>
      </c>
      <c r="E55" s="7" t="s">
        <v>158</v>
      </c>
      <c r="F55" s="8">
        <v>20</v>
      </c>
      <c r="G55" s="8">
        <v>92</v>
      </c>
      <c r="H55" s="8">
        <v>56</v>
      </c>
      <c r="I55" s="8">
        <v>28</v>
      </c>
      <c r="J55" s="10">
        <v>21</v>
      </c>
      <c r="K55" s="10"/>
      <c r="L55" s="6">
        <f>SUM(F55:J55)</f>
        <v>217</v>
      </c>
      <c r="M55" s="35">
        <v>217</v>
      </c>
    </row>
    <row r="56" spans="1:13" x14ac:dyDescent="0.25">
      <c r="A56" s="6">
        <v>63</v>
      </c>
      <c r="B56" s="7" t="s">
        <v>159</v>
      </c>
      <c r="C56" s="7" t="s">
        <v>159</v>
      </c>
      <c r="D56" s="11" t="s">
        <v>160</v>
      </c>
      <c r="E56" s="7" t="s">
        <v>161</v>
      </c>
      <c r="F56" s="8">
        <v>2</v>
      </c>
      <c r="G56" s="8">
        <v>4</v>
      </c>
      <c r="H56" s="8">
        <v>0</v>
      </c>
      <c r="I56" s="8">
        <v>0</v>
      </c>
      <c r="J56" s="10">
        <v>0</v>
      </c>
      <c r="K56" s="10"/>
      <c r="L56" s="6">
        <f>SUM(F56:J56)</f>
        <v>6</v>
      </c>
      <c r="M56" s="35">
        <v>6</v>
      </c>
    </row>
    <row r="57" spans="1:13" x14ac:dyDescent="0.25">
      <c r="A57" s="6">
        <v>64</v>
      </c>
      <c r="B57" s="7" t="s">
        <v>162</v>
      </c>
      <c r="C57" s="7" t="s">
        <v>273</v>
      </c>
      <c r="D57" s="11" t="s">
        <v>163</v>
      </c>
      <c r="E57" s="7" t="s">
        <v>164</v>
      </c>
      <c r="F57" s="8">
        <v>20</v>
      </c>
      <c r="G57" s="8">
        <v>36</v>
      </c>
      <c r="H57" s="8">
        <v>22</v>
      </c>
      <c r="I57" s="8">
        <v>10</v>
      </c>
      <c r="J57" s="10">
        <v>7</v>
      </c>
      <c r="K57" s="10"/>
      <c r="L57" s="6">
        <f>SUM(F57:J57)</f>
        <v>95</v>
      </c>
      <c r="M57" s="35">
        <v>95</v>
      </c>
    </row>
    <row r="58" spans="1:13" x14ac:dyDescent="0.25">
      <c r="A58" s="6">
        <v>65</v>
      </c>
      <c r="B58" s="7" t="s">
        <v>165</v>
      </c>
      <c r="C58" s="7" t="s">
        <v>274</v>
      </c>
      <c r="D58" s="11" t="s">
        <v>166</v>
      </c>
      <c r="E58" s="7" t="s">
        <v>167</v>
      </c>
      <c r="F58" s="8">
        <v>4</v>
      </c>
      <c r="G58" s="8">
        <v>11</v>
      </c>
      <c r="H58" s="8">
        <v>8</v>
      </c>
      <c r="I58" s="8">
        <v>14</v>
      </c>
      <c r="J58" s="10">
        <v>11</v>
      </c>
      <c r="K58" s="10"/>
      <c r="L58" s="6">
        <f>SUM(F58:J58)</f>
        <v>48</v>
      </c>
      <c r="M58" s="35">
        <v>48</v>
      </c>
    </row>
    <row r="59" spans="1:13" x14ac:dyDescent="0.25">
      <c r="A59" s="6">
        <v>66</v>
      </c>
      <c r="B59" s="7" t="s">
        <v>168</v>
      </c>
      <c r="C59" s="7" t="s">
        <v>168</v>
      </c>
      <c r="D59" s="11" t="s">
        <v>169</v>
      </c>
      <c r="E59" s="7" t="s">
        <v>170</v>
      </c>
      <c r="F59" s="8">
        <v>0</v>
      </c>
      <c r="G59" s="8">
        <v>2</v>
      </c>
      <c r="H59" s="8">
        <v>2</v>
      </c>
      <c r="I59" s="8">
        <v>0</v>
      </c>
      <c r="J59" s="10">
        <v>0</v>
      </c>
      <c r="K59" s="10"/>
      <c r="L59" s="6">
        <f>SUM(F59:J59)</f>
        <v>4</v>
      </c>
      <c r="M59" s="35">
        <v>4</v>
      </c>
    </row>
    <row r="60" spans="1:13" x14ac:dyDescent="0.25">
      <c r="A60" s="6">
        <v>67</v>
      </c>
      <c r="B60" s="7" t="s">
        <v>171</v>
      </c>
      <c r="C60" s="7" t="s">
        <v>171</v>
      </c>
      <c r="D60" s="9" t="s">
        <v>286</v>
      </c>
      <c r="E60" s="7" t="s">
        <v>172</v>
      </c>
      <c r="F60" s="8">
        <v>1</v>
      </c>
      <c r="G60" s="8">
        <v>0</v>
      </c>
      <c r="H60" s="8">
        <v>2</v>
      </c>
      <c r="I60" s="8">
        <v>0</v>
      </c>
      <c r="J60" s="10">
        <v>3</v>
      </c>
      <c r="K60" s="10"/>
      <c r="L60" s="6">
        <f>SUM(F60:J60)</f>
        <v>6</v>
      </c>
      <c r="M60" s="35">
        <v>6</v>
      </c>
    </row>
    <row r="61" spans="1:13" x14ac:dyDescent="0.25">
      <c r="A61" s="6">
        <v>68</v>
      </c>
      <c r="B61" s="7" t="s">
        <v>173</v>
      </c>
      <c r="C61" s="7" t="s">
        <v>275</v>
      </c>
      <c r="D61" s="11" t="s">
        <v>174</v>
      </c>
      <c r="E61" s="7" t="s">
        <v>175</v>
      </c>
      <c r="F61" s="8">
        <v>2</v>
      </c>
      <c r="G61" s="8">
        <v>8</v>
      </c>
      <c r="H61" s="8">
        <v>10</v>
      </c>
      <c r="I61" s="8">
        <v>0</v>
      </c>
      <c r="J61" s="10">
        <v>2</v>
      </c>
      <c r="K61" s="10"/>
      <c r="L61" s="6">
        <f>SUM(F61:J61)</f>
        <v>22</v>
      </c>
      <c r="M61" s="35">
        <v>22</v>
      </c>
    </row>
    <row r="62" spans="1:13" x14ac:dyDescent="0.25">
      <c r="A62" s="6">
        <v>69</v>
      </c>
      <c r="B62" s="7" t="s">
        <v>176</v>
      </c>
      <c r="C62" s="7" t="s">
        <v>276</v>
      </c>
      <c r="D62" s="11" t="s">
        <v>177</v>
      </c>
      <c r="E62" s="7" t="s">
        <v>178</v>
      </c>
      <c r="F62" s="8">
        <v>0</v>
      </c>
      <c r="G62" s="8">
        <v>0</v>
      </c>
      <c r="H62" s="8">
        <v>0</v>
      </c>
      <c r="I62" s="8">
        <v>4</v>
      </c>
      <c r="J62" s="10">
        <v>0</v>
      </c>
      <c r="K62" s="10"/>
      <c r="L62" s="6">
        <f>SUM(F62:J62)</f>
        <v>4</v>
      </c>
      <c r="M62" s="35">
        <v>4</v>
      </c>
    </row>
    <row r="63" spans="1:13" x14ac:dyDescent="0.25">
      <c r="A63" s="6">
        <v>70</v>
      </c>
      <c r="B63" s="7" t="s">
        <v>179</v>
      </c>
      <c r="C63" s="7" t="s">
        <v>179</v>
      </c>
      <c r="D63" s="11" t="s">
        <v>180</v>
      </c>
      <c r="E63" s="7" t="s">
        <v>181</v>
      </c>
      <c r="F63" s="8">
        <v>1</v>
      </c>
      <c r="G63" s="8">
        <v>1</v>
      </c>
      <c r="H63" s="8">
        <v>4</v>
      </c>
      <c r="I63" s="8">
        <v>0</v>
      </c>
      <c r="J63" s="10">
        <v>0</v>
      </c>
      <c r="K63" s="10"/>
      <c r="L63" s="6">
        <f>SUM(F63:J63)</f>
        <v>6</v>
      </c>
      <c r="M63" s="35">
        <v>6</v>
      </c>
    </row>
    <row r="64" spans="1:13" x14ac:dyDescent="0.25">
      <c r="A64" s="6">
        <v>72</v>
      </c>
      <c r="B64" s="7" t="s">
        <v>182</v>
      </c>
      <c r="C64" s="7" t="s">
        <v>182</v>
      </c>
      <c r="D64" s="11" t="s">
        <v>183</v>
      </c>
      <c r="E64" s="7" t="s">
        <v>184</v>
      </c>
      <c r="F64" s="8">
        <v>1</v>
      </c>
      <c r="G64" s="8">
        <v>2</v>
      </c>
      <c r="H64" s="8">
        <v>0</v>
      </c>
      <c r="I64" s="8">
        <v>0</v>
      </c>
      <c r="J64" s="10">
        <v>0</v>
      </c>
      <c r="K64" s="10"/>
      <c r="L64" s="6">
        <f>SUM(F64:J64)</f>
        <v>3</v>
      </c>
      <c r="M64" s="35">
        <v>3</v>
      </c>
    </row>
    <row r="65" spans="1:13" x14ac:dyDescent="0.25">
      <c r="A65" s="6">
        <v>73</v>
      </c>
      <c r="B65" s="7" t="s">
        <v>185</v>
      </c>
      <c r="C65" s="7" t="s">
        <v>185</v>
      </c>
      <c r="D65" s="11" t="s">
        <v>186</v>
      </c>
      <c r="E65" s="7" t="s">
        <v>187</v>
      </c>
      <c r="F65" s="8">
        <v>2</v>
      </c>
      <c r="G65" s="8">
        <v>2</v>
      </c>
      <c r="H65" s="8">
        <v>0</v>
      </c>
      <c r="I65" s="8">
        <v>0</v>
      </c>
      <c r="J65" s="10">
        <v>0</v>
      </c>
      <c r="K65" s="10"/>
      <c r="L65" s="6">
        <f>SUM(F65:J65)</f>
        <v>4</v>
      </c>
      <c r="M65" s="35">
        <v>4</v>
      </c>
    </row>
    <row r="66" spans="1:13" x14ac:dyDescent="0.25">
      <c r="A66" s="6">
        <v>80</v>
      </c>
      <c r="B66" s="7" t="s">
        <v>188</v>
      </c>
      <c r="C66" s="7" t="s">
        <v>188</v>
      </c>
      <c r="D66" s="11" t="s">
        <v>189</v>
      </c>
      <c r="E66" s="7" t="s">
        <v>190</v>
      </c>
      <c r="F66" s="8">
        <v>0</v>
      </c>
      <c r="G66" s="8">
        <v>0</v>
      </c>
      <c r="H66" s="8">
        <v>0</v>
      </c>
      <c r="I66" s="8">
        <v>0</v>
      </c>
      <c r="J66" s="10">
        <v>1</v>
      </c>
      <c r="K66" s="10"/>
      <c r="L66" s="6">
        <f>SUM(F66:J66)</f>
        <v>1</v>
      </c>
      <c r="M66" s="35">
        <v>1</v>
      </c>
    </row>
    <row r="67" spans="1:13" x14ac:dyDescent="0.25">
      <c r="A67" s="6">
        <v>81</v>
      </c>
      <c r="B67" s="7" t="s">
        <v>191</v>
      </c>
      <c r="C67" s="7" t="s">
        <v>191</v>
      </c>
      <c r="D67" s="11" t="s">
        <v>192</v>
      </c>
      <c r="E67" s="7" t="s">
        <v>193</v>
      </c>
      <c r="F67" s="8">
        <v>0</v>
      </c>
      <c r="G67" s="8">
        <v>1</v>
      </c>
      <c r="H67" s="8">
        <v>0</v>
      </c>
      <c r="I67" s="8">
        <v>0</v>
      </c>
      <c r="J67" s="10">
        <v>0</v>
      </c>
      <c r="K67" s="10"/>
      <c r="L67" s="6">
        <f>SUM(F67:J67)</f>
        <v>1</v>
      </c>
      <c r="M67" s="35">
        <v>1</v>
      </c>
    </row>
    <row r="68" spans="1:13" x14ac:dyDescent="0.25">
      <c r="A68" s="6">
        <v>83</v>
      </c>
      <c r="B68" s="7" t="s">
        <v>194</v>
      </c>
      <c r="C68" s="7" t="s">
        <v>194</v>
      </c>
      <c r="D68" s="11" t="s">
        <v>195</v>
      </c>
      <c r="E68" s="7" t="s">
        <v>196</v>
      </c>
      <c r="F68" s="8">
        <v>2</v>
      </c>
      <c r="G68" s="8">
        <v>6</v>
      </c>
      <c r="H68" s="8">
        <v>8</v>
      </c>
      <c r="I68" s="8">
        <v>4</v>
      </c>
      <c r="J68" s="10">
        <v>2</v>
      </c>
      <c r="K68" s="10"/>
      <c r="L68" s="6">
        <f>SUM(F68:J68)</f>
        <v>22</v>
      </c>
      <c r="M68" s="35">
        <v>22</v>
      </c>
    </row>
    <row r="69" spans="1:13" s="44" customFormat="1" x14ac:dyDescent="0.25">
      <c r="A69" s="38">
        <v>84</v>
      </c>
      <c r="B69" s="39" t="s">
        <v>197</v>
      </c>
      <c r="C69" s="39" t="s">
        <v>197</v>
      </c>
      <c r="D69" s="40" t="s">
        <v>306</v>
      </c>
      <c r="E69" s="39" t="s">
        <v>198</v>
      </c>
      <c r="F69" s="41">
        <v>0</v>
      </c>
      <c r="G69" s="41">
        <v>0</v>
      </c>
      <c r="H69" s="41">
        <v>0</v>
      </c>
      <c r="I69" s="41">
        <v>4</v>
      </c>
      <c r="J69" s="42">
        <v>0</v>
      </c>
      <c r="K69" s="42"/>
      <c r="L69" s="38">
        <f>SUM(F69:J69)</f>
        <v>4</v>
      </c>
      <c r="M69" s="43">
        <v>4</v>
      </c>
    </row>
    <row r="70" spans="1:13" x14ac:dyDescent="0.25">
      <c r="A70" s="6">
        <v>85</v>
      </c>
      <c r="B70" s="13" t="s">
        <v>199</v>
      </c>
      <c r="C70" s="7" t="s">
        <v>199</v>
      </c>
      <c r="D70" s="28" t="s">
        <v>200</v>
      </c>
      <c r="E70" s="7" t="s">
        <v>201</v>
      </c>
      <c r="F70" s="8">
        <v>1</v>
      </c>
      <c r="G70" s="8">
        <v>0</v>
      </c>
      <c r="H70" s="8">
        <v>4</v>
      </c>
      <c r="I70" s="8">
        <v>4</v>
      </c>
      <c r="J70" s="10">
        <v>0</v>
      </c>
      <c r="K70" s="10"/>
      <c r="L70" s="6">
        <f>SUM(F70:J70)</f>
        <v>9</v>
      </c>
      <c r="M70" s="35">
        <v>9</v>
      </c>
    </row>
    <row r="71" spans="1:13" x14ac:dyDescent="0.25">
      <c r="A71" s="6">
        <v>89</v>
      </c>
      <c r="B71" s="14" t="s">
        <v>202</v>
      </c>
      <c r="C71" s="7" t="s">
        <v>277</v>
      </c>
      <c r="D71" s="29" t="s">
        <v>302</v>
      </c>
      <c r="E71" s="15" t="s">
        <v>203</v>
      </c>
      <c r="F71" s="8">
        <v>0</v>
      </c>
      <c r="G71" s="8">
        <v>0</v>
      </c>
      <c r="H71" s="8">
        <v>0</v>
      </c>
      <c r="I71" s="8">
        <v>4</v>
      </c>
      <c r="J71" s="10">
        <v>0</v>
      </c>
      <c r="K71" s="10"/>
      <c r="L71" s="6">
        <f>SUM(F71:J71)</f>
        <v>4</v>
      </c>
      <c r="M71" s="35">
        <v>4</v>
      </c>
    </row>
    <row r="72" spans="1:13" x14ac:dyDescent="0.25">
      <c r="A72" s="6">
        <v>90</v>
      </c>
      <c r="B72" s="16" t="s">
        <v>204</v>
      </c>
      <c r="C72" s="7" t="s">
        <v>278</v>
      </c>
      <c r="D72" s="30" t="s">
        <v>303</v>
      </c>
      <c r="E72" s="7" t="s">
        <v>205</v>
      </c>
      <c r="F72" s="8">
        <v>2</v>
      </c>
      <c r="G72" s="8">
        <v>0</v>
      </c>
      <c r="H72" s="8">
        <v>0</v>
      </c>
      <c r="I72" s="8">
        <v>0</v>
      </c>
      <c r="J72" s="10">
        <v>4</v>
      </c>
      <c r="K72" s="10"/>
      <c r="L72" s="6">
        <f>SUM(F72:J72)</f>
        <v>6</v>
      </c>
      <c r="M72" s="35">
        <v>6</v>
      </c>
    </row>
    <row r="73" spans="1:13" x14ac:dyDescent="0.25">
      <c r="A73" s="6">
        <v>91</v>
      </c>
      <c r="B73" s="7" t="s">
        <v>206</v>
      </c>
      <c r="C73" s="7" t="s">
        <v>206</v>
      </c>
      <c r="D73" s="11" t="s">
        <v>207</v>
      </c>
      <c r="E73" s="7" t="s">
        <v>208</v>
      </c>
      <c r="F73" s="8">
        <v>2</v>
      </c>
      <c r="G73" s="8">
        <v>0</v>
      </c>
      <c r="H73" s="8">
        <v>0</v>
      </c>
      <c r="I73" s="8">
        <v>4</v>
      </c>
      <c r="J73" s="10">
        <v>0</v>
      </c>
      <c r="K73" s="10"/>
      <c r="L73" s="6">
        <f>SUM(F73:J73)</f>
        <v>6</v>
      </c>
      <c r="M73" s="35">
        <v>6</v>
      </c>
    </row>
    <row r="74" spans="1:13" x14ac:dyDescent="0.25">
      <c r="A74" s="6">
        <v>92</v>
      </c>
      <c r="B74" s="7" t="s">
        <v>209</v>
      </c>
      <c r="C74" s="7" t="s">
        <v>209</v>
      </c>
      <c r="D74" s="11" t="s">
        <v>210</v>
      </c>
      <c r="E74" s="7" t="s">
        <v>211</v>
      </c>
      <c r="F74" s="8">
        <v>0</v>
      </c>
      <c r="G74" s="8">
        <v>2</v>
      </c>
      <c r="H74" s="8">
        <v>0</v>
      </c>
      <c r="I74" s="8">
        <v>0</v>
      </c>
      <c r="J74" s="10">
        <v>0</v>
      </c>
      <c r="K74" s="10"/>
      <c r="L74" s="6">
        <f>SUM(F74:J74)</f>
        <v>2</v>
      </c>
      <c r="M74" s="35">
        <v>2</v>
      </c>
    </row>
    <row r="75" spans="1:13" x14ac:dyDescent="0.25">
      <c r="A75" s="6">
        <v>93</v>
      </c>
      <c r="B75" s="7" t="s">
        <v>212</v>
      </c>
      <c r="C75" s="7" t="s">
        <v>279</v>
      </c>
      <c r="D75" s="11" t="s">
        <v>213</v>
      </c>
      <c r="E75" s="7" t="s">
        <v>214</v>
      </c>
      <c r="F75" s="8">
        <v>2</v>
      </c>
      <c r="G75" s="8">
        <v>12</v>
      </c>
      <c r="H75" s="8">
        <v>20</v>
      </c>
      <c r="I75" s="8">
        <v>0</v>
      </c>
      <c r="J75" s="10">
        <v>0</v>
      </c>
      <c r="K75" s="10"/>
      <c r="L75" s="6">
        <f>SUM(F75:J75)</f>
        <v>34</v>
      </c>
      <c r="M75" s="35">
        <v>34</v>
      </c>
    </row>
    <row r="76" spans="1:13" x14ac:dyDescent="0.25">
      <c r="A76" s="6">
        <v>94</v>
      </c>
      <c r="B76" s="7" t="s">
        <v>215</v>
      </c>
      <c r="C76" s="7" t="s">
        <v>280</v>
      </c>
      <c r="D76" s="11" t="s">
        <v>216</v>
      </c>
      <c r="E76" s="7" t="s">
        <v>217</v>
      </c>
      <c r="F76" s="8">
        <v>2</v>
      </c>
      <c r="G76" s="8">
        <v>10</v>
      </c>
      <c r="H76" s="8">
        <v>12</v>
      </c>
      <c r="I76" s="8">
        <v>0</v>
      </c>
      <c r="J76" s="10">
        <v>4</v>
      </c>
      <c r="K76" s="10"/>
      <c r="L76" s="6">
        <f>SUM(F76:J76)</f>
        <v>28</v>
      </c>
      <c r="M76" s="35">
        <v>28</v>
      </c>
    </row>
    <row r="77" spans="1:13" x14ac:dyDescent="0.25">
      <c r="A77" s="6">
        <v>95</v>
      </c>
      <c r="B77" s="7" t="s">
        <v>218</v>
      </c>
      <c r="C77" s="7" t="s">
        <v>218</v>
      </c>
      <c r="D77" s="11" t="s">
        <v>219</v>
      </c>
      <c r="E77" s="7" t="s">
        <v>220</v>
      </c>
      <c r="F77" s="8">
        <v>9</v>
      </c>
      <c r="G77" s="8">
        <v>1</v>
      </c>
      <c r="H77" s="8">
        <v>4</v>
      </c>
      <c r="I77" s="8">
        <v>0</v>
      </c>
      <c r="J77" s="10">
        <v>0</v>
      </c>
      <c r="K77" s="10"/>
      <c r="L77" s="6">
        <f>SUM(F77:J77)</f>
        <v>14</v>
      </c>
      <c r="M77" s="35">
        <v>14</v>
      </c>
    </row>
    <row r="78" spans="1:13" x14ac:dyDescent="0.25">
      <c r="A78" s="6">
        <v>96</v>
      </c>
      <c r="B78" s="7" t="s">
        <v>221</v>
      </c>
      <c r="C78" s="7" t="s">
        <v>281</v>
      </c>
      <c r="D78" s="11" t="s">
        <v>222</v>
      </c>
      <c r="E78" s="7" t="s">
        <v>223</v>
      </c>
      <c r="F78" s="8">
        <v>1</v>
      </c>
      <c r="G78" s="8">
        <v>6</v>
      </c>
      <c r="H78" s="8">
        <v>18</v>
      </c>
      <c r="I78" s="8">
        <v>0</v>
      </c>
      <c r="J78" s="10">
        <v>6</v>
      </c>
      <c r="K78" s="10"/>
      <c r="L78" s="6">
        <f>SUM(F78:J78)</f>
        <v>31</v>
      </c>
      <c r="M78" s="35">
        <v>31</v>
      </c>
    </row>
    <row r="79" spans="1:13" x14ac:dyDescent="0.25">
      <c r="A79" s="6">
        <v>97</v>
      </c>
      <c r="B79" s="7" t="s">
        <v>224</v>
      </c>
      <c r="C79" s="7" t="s">
        <v>224</v>
      </c>
      <c r="D79" s="11" t="s">
        <v>225</v>
      </c>
      <c r="E79" s="7" t="s">
        <v>226</v>
      </c>
      <c r="F79" s="8">
        <v>1</v>
      </c>
      <c r="G79" s="8">
        <v>0</v>
      </c>
      <c r="H79" s="8">
        <v>0</v>
      </c>
      <c r="I79" s="8">
        <v>0</v>
      </c>
      <c r="J79" s="10">
        <v>0</v>
      </c>
      <c r="K79" s="10"/>
      <c r="L79" s="6">
        <f>SUM(F79:J79)</f>
        <v>1</v>
      </c>
      <c r="M79" s="35">
        <v>1</v>
      </c>
    </row>
    <row r="80" spans="1:13" x14ac:dyDescent="0.25">
      <c r="A80" s="6">
        <v>98</v>
      </c>
      <c r="B80" s="7" t="s">
        <v>227</v>
      </c>
      <c r="C80" s="7" t="s">
        <v>227</v>
      </c>
      <c r="D80" s="11" t="s">
        <v>228</v>
      </c>
      <c r="E80" s="7" t="s">
        <v>229</v>
      </c>
      <c r="F80" s="8">
        <v>3</v>
      </c>
      <c r="G80" s="8">
        <v>5</v>
      </c>
      <c r="H80" s="8">
        <v>2</v>
      </c>
      <c r="I80" s="8">
        <v>2</v>
      </c>
      <c r="J80" s="10">
        <v>0</v>
      </c>
      <c r="K80" s="10"/>
      <c r="L80" s="6">
        <f>SUM(F80:J80)</f>
        <v>12</v>
      </c>
      <c r="M80" s="35">
        <v>12</v>
      </c>
    </row>
    <row r="81" spans="1:13" x14ac:dyDescent="0.25">
      <c r="A81" s="6">
        <v>100</v>
      </c>
      <c r="B81" s="7" t="s">
        <v>230</v>
      </c>
      <c r="C81" s="7" t="s">
        <v>282</v>
      </c>
      <c r="D81" s="11" t="s">
        <v>304</v>
      </c>
      <c r="E81" s="7" t="s">
        <v>231</v>
      </c>
      <c r="F81" s="8">
        <v>2</v>
      </c>
      <c r="G81" s="8">
        <v>3</v>
      </c>
      <c r="H81" s="8">
        <v>4</v>
      </c>
      <c r="I81" s="8">
        <v>0</v>
      </c>
      <c r="J81" s="10">
        <v>1</v>
      </c>
      <c r="K81" s="10"/>
      <c r="L81" s="6">
        <f>SUM(F81:J81)</f>
        <v>10</v>
      </c>
      <c r="M81" s="35">
        <v>10</v>
      </c>
    </row>
    <row r="82" spans="1:13" x14ac:dyDescent="0.25">
      <c r="A82" s="6">
        <v>102</v>
      </c>
      <c r="B82" s="7" t="s">
        <v>232</v>
      </c>
      <c r="C82" s="7" t="s">
        <v>232</v>
      </c>
      <c r="D82" s="7" t="s">
        <v>305</v>
      </c>
      <c r="E82" s="11" t="s">
        <v>118</v>
      </c>
      <c r="F82" s="8">
        <v>0</v>
      </c>
      <c r="G82" s="8">
        <v>4</v>
      </c>
      <c r="H82" s="8">
        <v>8</v>
      </c>
      <c r="I82" s="8">
        <v>0</v>
      </c>
      <c r="J82" s="10">
        <v>0</v>
      </c>
      <c r="K82" s="10"/>
      <c r="L82" s="6">
        <f>SUM(F82:J82)</f>
        <v>12</v>
      </c>
      <c r="M82" s="35">
        <v>12</v>
      </c>
    </row>
    <row r="83" spans="1:13" x14ac:dyDescent="0.25">
      <c r="A83" s="6">
        <v>103</v>
      </c>
      <c r="B83" s="7" t="s">
        <v>233</v>
      </c>
      <c r="C83" s="7" t="s">
        <v>283</v>
      </c>
      <c r="D83" s="11" t="s">
        <v>234</v>
      </c>
      <c r="E83" s="17" t="s">
        <v>235</v>
      </c>
      <c r="F83" s="8">
        <v>10</v>
      </c>
      <c r="G83" s="8">
        <v>6</v>
      </c>
      <c r="H83" s="8">
        <v>0</v>
      </c>
      <c r="I83" s="8">
        <v>12</v>
      </c>
      <c r="J83" s="10">
        <v>14</v>
      </c>
      <c r="K83" s="10"/>
      <c r="L83" s="6">
        <f>SUM(F83:J83)</f>
        <v>42</v>
      </c>
      <c r="M83" s="35">
        <v>42</v>
      </c>
    </row>
    <row r="84" spans="1:13" x14ac:dyDescent="0.25">
      <c r="A84" s="6">
        <v>104</v>
      </c>
      <c r="B84" s="7" t="s">
        <v>236</v>
      </c>
      <c r="C84" s="7" t="s">
        <v>236</v>
      </c>
      <c r="D84" s="11" t="s">
        <v>237</v>
      </c>
      <c r="E84" s="17" t="s">
        <v>238</v>
      </c>
      <c r="F84" s="8">
        <v>0</v>
      </c>
      <c r="G84" s="8">
        <v>16</v>
      </c>
      <c r="H84" s="8">
        <v>16</v>
      </c>
      <c r="I84" s="8">
        <v>16</v>
      </c>
      <c r="J84" s="10">
        <v>8</v>
      </c>
      <c r="K84" s="10"/>
      <c r="L84" s="6">
        <f>SUM(F84:J84)</f>
        <v>56</v>
      </c>
      <c r="M84" s="35">
        <v>56</v>
      </c>
    </row>
    <row r="85" spans="1:13" x14ac:dyDescent="0.25">
      <c r="A85" s="6">
        <v>106</v>
      </c>
      <c r="B85" s="7" t="s">
        <v>239</v>
      </c>
      <c r="C85" s="7" t="s">
        <v>284</v>
      </c>
      <c r="D85" s="11" t="s">
        <v>240</v>
      </c>
      <c r="E85" s="7" t="s">
        <v>241</v>
      </c>
      <c r="F85" s="8">
        <v>0</v>
      </c>
      <c r="G85" s="8">
        <v>2</v>
      </c>
      <c r="H85" s="8">
        <v>0</v>
      </c>
      <c r="I85" s="8">
        <v>0</v>
      </c>
      <c r="J85" s="10">
        <v>8</v>
      </c>
      <c r="K85" s="10"/>
      <c r="L85" s="6">
        <f>SUM(F85:J85)</f>
        <v>10</v>
      </c>
      <c r="M85" s="35">
        <v>10</v>
      </c>
    </row>
    <row r="86" spans="1:13" x14ac:dyDescent="0.25">
      <c r="A86" s="24"/>
      <c r="B86" s="7"/>
      <c r="C86" s="7"/>
      <c r="D86" s="31"/>
      <c r="E86" s="25"/>
      <c r="F86" s="25"/>
      <c r="G86" s="25"/>
      <c r="H86" s="25"/>
      <c r="I86" s="25"/>
      <c r="J86" s="25"/>
      <c r="K86" s="25"/>
      <c r="L86" s="25"/>
      <c r="M86" s="36"/>
    </row>
  </sheetData>
  <autoFilter ref="A1:L86" xr:uid="{0EF9EAAE-98C2-419E-9064-38C380F7EA17}"/>
  <conditionalFormatting sqref="F3:M85">
    <cfRule type="cellIs" dxfId="1" priority="2" stopIfTrue="1" operator="greaterThan">
      <formula>0</formula>
    </cfRule>
  </conditionalFormatting>
  <conditionalFormatting sqref="B1:D1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6FBC-74F4-44E0-B3CC-1254DEC0487A}">
  <dimension ref="A1:D6"/>
  <sheetViews>
    <sheetView workbookViewId="0">
      <selection activeCell="C11" sqref="C11"/>
    </sheetView>
  </sheetViews>
  <sheetFormatPr defaultRowHeight="15" x14ac:dyDescent="0.25"/>
  <cols>
    <col min="1" max="1" width="9" bestFit="1" customWidth="1"/>
    <col min="2" max="2" width="15" bestFit="1" customWidth="1"/>
    <col min="3" max="3" width="62.85546875" bestFit="1" customWidth="1"/>
  </cols>
  <sheetData>
    <row r="1" spans="1:4" x14ac:dyDescent="0.25">
      <c r="A1" s="21" t="s">
        <v>287</v>
      </c>
      <c r="B1" s="21" t="s">
        <v>288</v>
      </c>
      <c r="C1" s="21" t="s">
        <v>289</v>
      </c>
      <c r="D1" s="21" t="s">
        <v>290</v>
      </c>
    </row>
    <row r="2" spans="1:4" x14ac:dyDescent="0.25">
      <c r="A2" s="22">
        <v>12010021</v>
      </c>
      <c r="B2" s="22" t="s">
        <v>291</v>
      </c>
      <c r="C2" s="22" t="s">
        <v>292</v>
      </c>
      <c r="D2" s="23">
        <v>200</v>
      </c>
    </row>
    <row r="3" spans="1:4" x14ac:dyDescent="0.25">
      <c r="A3" s="22">
        <v>12010068</v>
      </c>
      <c r="B3" s="22" t="s">
        <v>293</v>
      </c>
      <c r="C3" s="22" t="s">
        <v>294</v>
      </c>
      <c r="D3" s="23">
        <v>30</v>
      </c>
    </row>
    <row r="4" spans="1:4" x14ac:dyDescent="0.25">
      <c r="A4" s="22">
        <v>12010064</v>
      </c>
      <c r="B4" s="22" t="s">
        <v>295</v>
      </c>
      <c r="C4" s="22" t="s">
        <v>296</v>
      </c>
      <c r="D4" s="23">
        <v>30</v>
      </c>
    </row>
    <row r="5" spans="1:4" x14ac:dyDescent="0.25">
      <c r="A5" s="22">
        <v>12025034</v>
      </c>
      <c r="B5" s="22" t="s">
        <v>297</v>
      </c>
      <c r="C5" s="22" t="s">
        <v>298</v>
      </c>
      <c r="D5" s="23">
        <v>20</v>
      </c>
    </row>
    <row r="6" spans="1:4" x14ac:dyDescent="0.25">
      <c r="A6" s="22">
        <v>12015005</v>
      </c>
      <c r="B6" s="22" t="s">
        <v>299</v>
      </c>
      <c r="C6" s="22" t="s">
        <v>300</v>
      </c>
      <c r="D6" s="2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 Mai | VMS Engineering</dc:creator>
  <cp:lastModifiedBy>Phuoc Mai | VMS Engineering</cp:lastModifiedBy>
  <dcterms:created xsi:type="dcterms:W3CDTF">2025-12-11T03:41:42Z</dcterms:created>
  <dcterms:modified xsi:type="dcterms:W3CDTF">2025-12-11T07:07:49Z</dcterms:modified>
</cp:coreProperties>
</file>