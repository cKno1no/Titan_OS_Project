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CA HEO\X.SERVER\X.CA NHAN\GD003\2025\Kinh doanh\Mi-Jack\"/>
    </mc:Choice>
  </mc:AlternateContent>
  <xr:revisionPtr revIDLastSave="0" documentId="13_ncr:1_{C1B70B70-4CB4-494C-AE80-21027A73E4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tting mua Ryco" sheetId="2" r:id="rId1"/>
    <sheet name="Adapter 2025" sheetId="6" r:id="rId2"/>
  </sheets>
  <definedNames>
    <definedName name="_xlnm._FilterDatabase" localSheetId="0" hidden="1">'Fitting mua Ryco'!$A$1:$K$6238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4" i="6" l="1"/>
  <c r="F283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" i="6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3" i="2"/>
  <c r="N84" i="2"/>
  <c r="N85" i="2"/>
  <c r="N86" i="2"/>
  <c r="N87" i="2"/>
  <c r="N88" i="2"/>
  <c r="N90" i="2"/>
  <c r="N91" i="2"/>
  <c r="N92" i="2"/>
  <c r="N93" i="2"/>
  <c r="N9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N33" i="2" s="1"/>
  <c r="M34" i="2"/>
  <c r="N34" i="2" s="1"/>
  <c r="M35" i="2"/>
  <c r="N35" i="2" s="1"/>
  <c r="M36" i="2"/>
  <c r="N36" i="2" s="1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N65" i="2" s="1"/>
  <c r="M66" i="2"/>
  <c r="N66" i="2" s="1"/>
  <c r="M67" i="2"/>
  <c r="N67" i="2" s="1"/>
  <c r="M68" i="2"/>
  <c r="N68" i="2" s="1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N82" i="2" s="1"/>
  <c r="M83" i="2"/>
  <c r="M84" i="2"/>
  <c r="M85" i="2"/>
  <c r="M86" i="2"/>
  <c r="M87" i="2"/>
  <c r="M88" i="2"/>
  <c r="M89" i="2"/>
  <c r="N89" i="2" s="1"/>
  <c r="M90" i="2"/>
  <c r="M91" i="2"/>
  <c r="M92" i="2"/>
  <c r="M93" i="2"/>
  <c r="M94" i="2"/>
  <c r="M2" i="2"/>
  <c r="N2" i="2" s="1"/>
  <c r="N95" i="2" l="1"/>
  <c r="M95" i="2"/>
</calcChain>
</file>

<file path=xl/sharedStrings.xml><?xml version="1.0" encoding="utf-8"?>
<sst xmlns="http://schemas.openxmlformats.org/spreadsheetml/2006/main" count="1707" uniqueCount="973">
  <si>
    <t>39560013</t>
  </si>
  <si>
    <t>79510061040</t>
  </si>
  <si>
    <t>79500041070</t>
  </si>
  <si>
    <t>FLANGE, SPLIT (HALF)</t>
  </si>
  <si>
    <t>HOSE, 1, TWO WIRE BRAID</t>
  </si>
  <si>
    <t>39520021</t>
  </si>
  <si>
    <t>79530121000</t>
  </si>
  <si>
    <t>T2243-0812</t>
  </si>
  <si>
    <t>T7350-1616</t>
  </si>
  <si>
    <t>T2243-1217</t>
  </si>
  <si>
    <t>T2040-2026</t>
  </si>
  <si>
    <t>39520013</t>
  </si>
  <si>
    <t>79510081000</t>
  </si>
  <si>
    <t>HOSE, 1, MULTIPLE FIBER SPIRAL LAYERS, ONE HELICAL WIRE</t>
  </si>
  <si>
    <t>HOSE, 1-1/4, TWO WIRE BRAID</t>
  </si>
  <si>
    <t>79554200071</t>
  </si>
  <si>
    <t>8040-0609</t>
  </si>
  <si>
    <t>T2250-0609</t>
  </si>
  <si>
    <t>Part</t>
  </si>
  <si>
    <t>S42-20</t>
  </si>
  <si>
    <t>SPTX20-I10</t>
  </si>
  <si>
    <t>FITTING, 90 DEG 2" CODE 61 - 1 1/4" HOSE INSERT</t>
  </si>
  <si>
    <t>T2280-0812</t>
  </si>
  <si>
    <t>FITTING 9/16 JIC (FM) SWIVEL - 3/8 HOSE INSERT</t>
  </si>
  <si>
    <t>HOSE, 3/4, FOUR OR SIX SPIRAL WIRES, SMALL BEND RADIUS</t>
  </si>
  <si>
    <t>T7040-1621</t>
  </si>
  <si>
    <t>FITTING, 90 DEG 7/16 JIC (M) - 1/4 HOSE INSERT</t>
  </si>
  <si>
    <t>HOSE, 1/4, ONE WIRE BRAID, NO SKIVE, ABRASION RESISTANT</t>
  </si>
  <si>
    <t>Quantity</t>
  </si>
  <si>
    <t>SF0072</t>
  </si>
  <si>
    <t>39540013</t>
  </si>
  <si>
    <t>79510061000</t>
  </si>
  <si>
    <t>79520101001</t>
  </si>
  <si>
    <t>FITTING 3/4" CODE 62 - 3/4" HOSE INSERT</t>
  </si>
  <si>
    <t>T2280-0409</t>
  </si>
  <si>
    <t>79544160071</t>
  </si>
  <si>
    <t>79540121070</t>
  </si>
  <si>
    <t>79500041000</t>
  </si>
  <si>
    <t>79500040000</t>
  </si>
  <si>
    <t>79570241000</t>
  </si>
  <si>
    <t>FITTING, 45 DEG 1 5/8 JIC (FM) - 1 1/4 HOSE INSERT</t>
  </si>
  <si>
    <t>S40-16</t>
  </si>
  <si>
    <t>79520101270</t>
  </si>
  <si>
    <t>FITTING, 45 DEG, 1 1/4" CODE 62 - 3/4" HOSE INSERT</t>
  </si>
  <si>
    <t>39530013</t>
  </si>
  <si>
    <t>T2040-1017</t>
  </si>
  <si>
    <t>S70853</t>
  </si>
  <si>
    <t>FITTING, 90 DEG 1 5/16 JIC (FM) - 1 HOSE INSERT</t>
  </si>
  <si>
    <t>Manuli RYCO Hydraulics (Dalian) Ltd</t>
  </si>
  <si>
    <t>T7150-1616</t>
  </si>
  <si>
    <t>RYCO HYDRAULICS SDN BHD</t>
  </si>
  <si>
    <t>79520081270</t>
  </si>
  <si>
    <t>FITTING, 1 7/8 JIC (FM) - 1 1/2 HOSE INSERT</t>
  </si>
  <si>
    <t>T7170-2032</t>
  </si>
  <si>
    <t>795632000700</t>
  </si>
  <si>
    <t>T16D</t>
  </si>
  <si>
    <t>Order Date</t>
  </si>
  <si>
    <t>T2040-0409</t>
  </si>
  <si>
    <t>T24D</t>
  </si>
  <si>
    <t>FITTING, MEDIUM 90 DEG 7/8 JIC SWIVEL (FM) - 1/2 HOSE INSERT</t>
  </si>
  <si>
    <t>T2170-2020</t>
  </si>
  <si>
    <t>79560201071</t>
  </si>
  <si>
    <t>79550161041</t>
  </si>
  <si>
    <t>T7130-2432</t>
  </si>
  <si>
    <t>T7370-1212</t>
  </si>
  <si>
    <t>FITTING, 45 DEG 1 5/16 JIC (FM) - 1 HOSE INSERT (4 WIRE)</t>
  </si>
  <si>
    <t>79540120070</t>
  </si>
  <si>
    <t>T2040-1214</t>
  </si>
  <si>
    <t>BD50300001</t>
  </si>
  <si>
    <t>HOSE, 1/2, ONE WIRE BRAID, NO SKIVE, ABRASION RESISTANT</t>
  </si>
  <si>
    <t>SPTX24</t>
  </si>
  <si>
    <t>FITTING, MEDIUM 90 DEG 3/4 JIC (FM) - 3/8 HOSE INSERT</t>
  </si>
  <si>
    <t>FITTING 1 1/4" CODE 61 - 1 1/4" HOSE INSERT</t>
  </si>
  <si>
    <t>T2243-0407</t>
  </si>
  <si>
    <t>79554160071</t>
  </si>
  <si>
    <t>FITTING, 90 DEG 7/16 JIC (FM) - 1/4 HOSE INSERT</t>
  </si>
  <si>
    <t>H4008D-R1</t>
  </si>
  <si>
    <t>T2070-1217</t>
  </si>
  <si>
    <t>FITTING, 90 DEG 9/16 JIC (FM) - 3/8 HOSE INSERT</t>
  </si>
  <si>
    <t>FITTING 1 5/16 JIC (FM) SWIVEL -
3/4" HOSE INSERT ( 4&amp;6 WIRE)</t>
  </si>
  <si>
    <t>FITTING 3/4 JIC (FM) SWIVEL - 1/2 HOSE INSERT</t>
  </si>
  <si>
    <t>FLANGE CLAMP HALF 31720011</t>
  </si>
  <si>
    <t>T2243-2026</t>
  </si>
  <si>
    <t>T2250-2026</t>
  </si>
  <si>
    <t>FITTING, 90 DEG 1 1/16 JIC (M) - 3/4 HOSE INSERT</t>
  </si>
  <si>
    <t>FITTING 45 DEG, 1 5/16 JIC (FM) SWIVEL - 1" HOSE INSERT</t>
  </si>
  <si>
    <t>T2040-1621</t>
  </si>
  <si>
    <t>T2250-1621</t>
  </si>
  <si>
    <t>T2070-0407</t>
  </si>
  <si>
    <t>79500040070</t>
  </si>
  <si>
    <t>FITTING 1 1/16 JIC (FM) SWIVEL - 3/4 HOSE INSERT</t>
  </si>
  <si>
    <t>H5012D</t>
  </si>
  <si>
    <t>FITTING, 7/8 JIC SWIVEL (FM) - 1/2 HOSE INSERT</t>
  </si>
  <si>
    <t>FITTING, 45 DEG 1 CODE 61 - 1 HOSE INSERT</t>
  </si>
  <si>
    <t>FITTINGS, 3/4 JIC - HOSE INSERT 1/2, LONG BEND 90 DEG</t>
  </si>
  <si>
    <t>T7040-1217</t>
  </si>
  <si>
    <t>HOSE, 5/8, TWO WIRE BRAID</t>
  </si>
  <si>
    <t>FITTING 1 5/16 JIC (FM) SWIVEL - 3/4" HOSE INSERT ( 4&amp;6 WIRE)</t>
  </si>
  <si>
    <t>79560201040</t>
  </si>
  <si>
    <t>FITTING, 7/8 JIC (M) - 5/8 HOSE INSERT</t>
  </si>
  <si>
    <t>79550201001</t>
  </si>
  <si>
    <t>T2250-0812</t>
  </si>
  <si>
    <t>FITTING, 45 DEG 9/16 JIC SWIVEL (FM) - 3/8 HOSE INSERT</t>
  </si>
  <si>
    <t>T7040-1221</t>
  </si>
  <si>
    <t>HOSE, 1-1/4, MULTIPLE FIBER SPIRAL LAYERS, ONE HELICAL WIRE</t>
  </si>
  <si>
    <t>FITTING, 90 DEG -8  (13/16-16) ORFS (M) -3/8" HOSE INSERT</t>
  </si>
  <si>
    <t>50302001</t>
  </si>
  <si>
    <t>S42-16</t>
  </si>
  <si>
    <t>HOSE, 3/8, TWO WIRE BRAID</t>
  </si>
  <si>
    <t>Description</t>
  </si>
  <si>
    <t>FITTINGS, 9/16 JIC - HOSE INSERT 1/4, LONG BEND 90 DEG</t>
  </si>
  <si>
    <t>79500061070</t>
  </si>
  <si>
    <t>FLANGE, SPLIT</t>
  </si>
  <si>
    <t>31600201</t>
  </si>
  <si>
    <t>T2243-1621</t>
  </si>
  <si>
    <t>HOSE, 3/4, TWO WIRE BRAID</t>
  </si>
  <si>
    <t>FITTINGS, 3/4 JIC - HOSE INSERT 3/8</t>
  </si>
  <si>
    <t>FITTING, 1 5/16 JIC (M) - 3/4 HOSE INSERT</t>
  </si>
  <si>
    <t>T2090-0606</t>
  </si>
  <si>
    <t>HOSE, 1, FOUR OR SIX SPIRAL WIRES, SMALL BEND RADIUS</t>
  </si>
  <si>
    <t>S52-2116</t>
  </si>
  <si>
    <t>Unit Price</t>
  </si>
  <si>
    <t>FITTING, 7/16 JIC (FM) - 1/4 HOSE INSERT</t>
  </si>
  <si>
    <t>79540121270</t>
  </si>
  <si>
    <t>39540022</t>
  </si>
  <si>
    <t>T2030-10-14</t>
  </si>
  <si>
    <t>79540121001</t>
  </si>
  <si>
    <t>FITTING, 90 DEG 1 5/8" JIC - 1 1/4" HOSE INSERT (4&amp;6 WIRE)</t>
  </si>
  <si>
    <t>Supplier ID</t>
  </si>
  <si>
    <t>H5016D-R1</t>
  </si>
  <si>
    <t>79540161001</t>
  </si>
  <si>
    <t>FITTING, 9/16 JIC SWIVEL (FM) - 1/4 HOSE INSERT</t>
  </si>
  <si>
    <t>T7370-1616</t>
  </si>
  <si>
    <t>79540160000</t>
  </si>
  <si>
    <t>31600041</t>
  </si>
  <si>
    <t>79520101000</t>
  </si>
  <si>
    <t>HOSE, 3/8, ONE WIRE BRAID, ABRASION RESISTANT</t>
  </si>
  <si>
    <t>79553160041</t>
  </si>
  <si>
    <t>T7130-2020</t>
  </si>
  <si>
    <t>T2250-1014</t>
  </si>
  <si>
    <t>79530101040</t>
  </si>
  <si>
    <t>39550013</t>
  </si>
  <si>
    <t>FITTING, 3/8 NPT MALE HOSE END-3/8 HOSE INSERT</t>
  </si>
  <si>
    <t>79563200000</t>
  </si>
  <si>
    <t>FITTING, 45 DEG 3/4 JIC (FM) - 1/2 HOSE INSERT</t>
  </si>
  <si>
    <t>FITTING, 45 DEG 1 CODE 62 - 1 HOSE INSERT</t>
  </si>
  <si>
    <t>79563320070</t>
  </si>
  <si>
    <t>31601022</t>
  </si>
  <si>
    <t>FITTING, 90 DEG 1 1/4 CODE 61 - 1 1/4 HOSE INSERT</t>
  </si>
  <si>
    <t>79540201001</t>
  </si>
  <si>
    <t>79520081000</t>
  </si>
  <si>
    <t>39510013</t>
  </si>
  <si>
    <t>T7243-1621</t>
  </si>
  <si>
    <t>39560003</t>
  </si>
  <si>
    <t>79573320000</t>
  </si>
  <si>
    <t>39570003</t>
  </si>
  <si>
    <t>FITTING, 1 5/16 JIC (FM) SWIVEL - 1 HOSE INSERT (4 WIRE)</t>
  </si>
  <si>
    <t>HOSE, 1/4, TWO WIRE BRAID</t>
  </si>
  <si>
    <t>79050406</t>
  </si>
  <si>
    <t>T2040-0812</t>
  </si>
  <si>
    <t>8010-0406</t>
  </si>
  <si>
    <t>SRXHT12-Q1</t>
  </si>
  <si>
    <t>79544160001</t>
  </si>
  <si>
    <t>FITTING, 90 DEG 1 1/16 JIC (FM) - 3/4 HOSE INSERT</t>
  </si>
  <si>
    <t>39500013</t>
  </si>
  <si>
    <t>INSERT, BARBED</t>
  </si>
  <si>
    <t>79550161040</t>
  </si>
  <si>
    <t>FITTING 1 5/16 JIC (FM) SWIVEL - 1" HOSE INSERT (4&amp;6 WIRE)</t>
  </si>
  <si>
    <t>T7240-1217</t>
  </si>
  <si>
    <t>79540161000</t>
  </si>
  <si>
    <t>T2030-1221</t>
  </si>
  <si>
    <t>79550161070</t>
  </si>
  <si>
    <t>Purchase UOM</t>
  </si>
  <si>
    <t>T2243-1214</t>
  </si>
  <si>
    <t>FITTING, 90 DEG 1 5/8 JIC (FM) - 1 1/4 HOSE INSERT</t>
  </si>
  <si>
    <t>S42-12</t>
  </si>
  <si>
    <t>SF0071</t>
  </si>
  <si>
    <t>HOSE 3/4''ID SAE 100R-4</t>
  </si>
  <si>
    <t>FITTING, 90 DEG 1 1/4 CODE 62 - 1 HOSE INSERT</t>
  </si>
  <si>
    <t>FITTING, 45 DEG 1 5/16 JIC - 1" HOSE INSERT (4&amp;6 WIRE)</t>
  </si>
  <si>
    <t>SPTX16</t>
  </si>
  <si>
    <t>79530100000</t>
  </si>
  <si>
    <t>FITTING, 7/8 JIC SWIVEL (FM) - 3/4 HOSE INSERT</t>
  </si>
  <si>
    <t>39550003</t>
  </si>
  <si>
    <t>FITTING, 1 1/16" JIC - 3/4 HOSE INSERT 90 deg</t>
  </si>
  <si>
    <t>T2040-0612</t>
  </si>
  <si>
    <t>79520081070</t>
  </si>
  <si>
    <t>FITTING, 45 DEG 1 1/16 JIC (FM) - 3/4 HOSE INSERT</t>
  </si>
  <si>
    <t>Supplier Part</t>
  </si>
  <si>
    <t>T7820-0613</t>
  </si>
  <si>
    <t>T2040-0609</t>
  </si>
  <si>
    <t>79540121071</t>
  </si>
  <si>
    <t>T2250-1217</t>
  </si>
  <si>
    <t>79554160041</t>
  </si>
  <si>
    <t>79510081070</t>
  </si>
  <si>
    <t>T2030-0407</t>
  </si>
  <si>
    <t>T2040-0407</t>
  </si>
  <si>
    <t>HOSE 1 1/4ID SAE 100R-4</t>
  </si>
  <si>
    <t>79512060000</t>
  </si>
  <si>
    <t>79540101000</t>
  </si>
  <si>
    <t>FITTING, 90 DEG 1" CODE 62 - 3/4" HOSE INSERT (NO FERRULE)</t>
  </si>
  <si>
    <t>FITTING, 1 5/16 JIC (FM) - 1 HOSE INSERT</t>
  </si>
  <si>
    <t>79550161071</t>
  </si>
  <si>
    <t>FITTING, 90 DEG 3/4" CODE 62 - 3/4" HOSE INSERT (NO FERRULE)</t>
  </si>
  <si>
    <t>T7040-2430</t>
  </si>
  <si>
    <t>Name</t>
  </si>
  <si>
    <t>79511081070</t>
  </si>
  <si>
    <t>39550022</t>
  </si>
  <si>
    <t>T2280-1217</t>
  </si>
  <si>
    <t>79530101000</t>
  </si>
  <si>
    <t>T212D-R1</t>
  </si>
  <si>
    <t>T14D</t>
  </si>
  <si>
    <t>FITTING 2 CODE 61 - 1 1/2" HOSE INSERT</t>
  </si>
  <si>
    <t>79544200040</t>
  </si>
  <si>
    <t>T2243-0409</t>
  </si>
  <si>
    <t>T2040-1217</t>
  </si>
  <si>
    <t>T7370-1620</t>
  </si>
  <si>
    <t>T2240-0814</t>
  </si>
  <si>
    <t>79520081040</t>
  </si>
  <si>
    <t>FITTING, 7/16 JIC (M) - 1/4 HOSE INSERT</t>
  </si>
  <si>
    <t>ME</t>
  </si>
  <si>
    <t>39500019</t>
  </si>
  <si>
    <t>EA</t>
  </si>
  <si>
    <t>79540121040</t>
  </si>
  <si>
    <t>FITTING 1 1/16 JIC (FM) SWIVEL - 3/4" HOSE INSERT (4&amp;6 WIRE)</t>
  </si>
  <si>
    <t>FITTING, 7/8 JIC (FM) - 5/8 HOSE INSERT</t>
  </si>
  <si>
    <t>79570240000</t>
  </si>
  <si>
    <t>39510016</t>
  </si>
  <si>
    <t>SPTX20</t>
  </si>
  <si>
    <t>FITTING, 1 7/8 JIC (M) - 1 1/2 HOSE INSERT</t>
  </si>
  <si>
    <t>79560201000</t>
  </si>
  <si>
    <t>39520019</t>
  </si>
  <si>
    <t>FITTING, 90 DEG 3/4-16 JIC SWIVEL (FM) - 3/8 HOSE INSERT</t>
  </si>
  <si>
    <t>T7350-1620</t>
  </si>
  <si>
    <t>79500061270</t>
  </si>
  <si>
    <t>79540121000</t>
  </si>
  <si>
    <t>FITTING, 90 DEG, 3/4" JIC - 1/2" HOSE INSERT</t>
  </si>
  <si>
    <t>79510081170</t>
  </si>
  <si>
    <t>79510061070</t>
  </si>
  <si>
    <t>T7040-0814</t>
  </si>
  <si>
    <t>PO</t>
  </si>
  <si>
    <t>HOSE, 1-1/2, MULTIPLE FIBER SPIRAL LAYERS, ONE HELICAL WIRE</t>
  </si>
  <si>
    <t>79550160041</t>
  </si>
  <si>
    <t>79544120071</t>
  </si>
  <si>
    <t>T7240-2026</t>
  </si>
  <si>
    <t>79520101170</t>
  </si>
  <si>
    <t>79544120001</t>
  </si>
  <si>
    <t>FITTING, 90 DEG 7/8 JIC SWIVEL (FM) - 1/2 HOSE INSERT</t>
  </si>
  <si>
    <t>79560201070</t>
  </si>
  <si>
    <t>T7240-1621</t>
  </si>
  <si>
    <t>FITTING, 1 5/16 JIC (FM) - 3/4 HOSE INSERT</t>
  </si>
  <si>
    <t>ELBOW, TUBE SPUD</t>
  </si>
  <si>
    <t>T7370-1216</t>
  </si>
  <si>
    <t>FITTING, 90 DEG 7/8 JIC SWIVEL (FM) - 3/4 HOSE INSERT</t>
  </si>
  <si>
    <t>T2040-1014</t>
  </si>
  <si>
    <t>T2040-2430</t>
  </si>
  <si>
    <t>T7250-1621</t>
  </si>
  <si>
    <t>T7330-1216</t>
  </si>
  <si>
    <t>31600234</t>
  </si>
  <si>
    <t>79040606</t>
  </si>
  <si>
    <t>FITTING, 90 DEG 1 CODE 62 - 1 HOSE INSERT</t>
  </si>
  <si>
    <t>FITTING, STRAIGHT 3/4 JIC (F) - 5/8 HOSE INSERT</t>
  </si>
  <si>
    <t>PC</t>
  </si>
  <si>
    <t>T2240-0612</t>
  </si>
  <si>
    <t>T26D</t>
  </si>
  <si>
    <t>T2040-0814</t>
  </si>
  <si>
    <t>79500061000</t>
  </si>
  <si>
    <t>FITTING, 7/8 JIC SWIVEL (FM) - 1/2 HOSE INSERT  (4&amp;6 WIRE)</t>
  </si>
  <si>
    <t>T2280-0814</t>
  </si>
  <si>
    <t>79550161001</t>
  </si>
  <si>
    <t>HOSE, 1/2, TWO WIRE BRAID</t>
  </si>
  <si>
    <t>79540161070</t>
  </si>
  <si>
    <t>79540101070</t>
  </si>
  <si>
    <t>FITTING 1/4" - 9/16 JIC_90</t>
  </si>
  <si>
    <t>FITTING 1 5/8 JIC (FM) SWIVEL - 1 1/4" HOSE INSERT</t>
  </si>
  <si>
    <t>FITTING, 90 DEG 1 1/16 JIC (FM) - 3/4 HOSE INSERT(4&amp;6 WIRE)</t>
  </si>
  <si>
    <t>T7330-1212</t>
  </si>
  <si>
    <t>FITTING 1 CODE 62 - 3/4 HOSE</t>
  </si>
  <si>
    <t/>
  </si>
  <si>
    <t>T28D</t>
  </si>
  <si>
    <t>FITTING, 45 DEG 7/8 JIC (FM) - 1/2 HOSE INSERT</t>
  </si>
  <si>
    <t>FITTING, 90 DEG, 1 5/16" JIC - 1" HOSE INSERT (4&amp;6 WIRE)</t>
  </si>
  <si>
    <t>HOSE, 1/2, FOUR SPIRAL STEEL WIRE</t>
  </si>
  <si>
    <t>Line</t>
  </si>
  <si>
    <t>FITTING, 90 DEG, 1 5/16" JIC - 3/4" HOSE  (2 WIRE)</t>
  </si>
  <si>
    <t>T2040-1221</t>
  </si>
  <si>
    <t>T2243-0609</t>
  </si>
  <si>
    <t>79550161000</t>
  </si>
  <si>
    <t>USD Amount</t>
  </si>
  <si>
    <t>VND Amonut</t>
  </si>
  <si>
    <t>Decription</t>
  </si>
  <si>
    <t>UNIT PRICE</t>
  </si>
  <si>
    <t>REMARKS</t>
  </si>
  <si>
    <t>ADAPTER</t>
  </si>
  <si>
    <t>ADAPTER, CD 62 FLANGE TO MALE JIC</t>
  </si>
  <si>
    <t>ADAPTER, STRAIGHT FLANGE</t>
  </si>
  <si>
    <t>FLANGE, 90 DEGREE ELBOW</t>
  </si>
  <si>
    <t>FLANGE, SPLIT HALF</t>
  </si>
  <si>
    <t>Part No</t>
  </si>
  <si>
    <t>Unit</t>
  </si>
  <si>
    <t>Price</t>
  </si>
  <si>
    <t>78470606</t>
  </si>
  <si>
    <t>CONNECTOR, STRAIGHT THREAD</t>
  </si>
  <si>
    <t>6400-06-06</t>
  </si>
  <si>
    <t>78490606</t>
  </si>
  <si>
    <t>ELBOW, STRAIGHT THREAD</t>
  </si>
  <si>
    <t>6801-06-0</t>
  </si>
  <si>
    <t>78640606</t>
  </si>
  <si>
    <t>ELBOW, SWIVEL NUT</t>
  </si>
  <si>
    <t>6500-06-06</t>
  </si>
  <si>
    <t>78470608</t>
  </si>
  <si>
    <t>6400-06-08</t>
  </si>
  <si>
    <t>79700606</t>
  </si>
  <si>
    <t>NUT, TUBE</t>
  </si>
  <si>
    <t>0318-06</t>
  </si>
  <si>
    <t>78470808</t>
  </si>
  <si>
    <t>6400-08-08</t>
  </si>
  <si>
    <t>79710606</t>
  </si>
  <si>
    <t>SLEEVE, TUBE</t>
  </si>
  <si>
    <t>0319-06</t>
  </si>
  <si>
    <t>78470610</t>
  </si>
  <si>
    <t>FITTING</t>
  </si>
  <si>
    <t>6400-06-10</t>
  </si>
  <si>
    <t>78490608</t>
  </si>
  <si>
    <t>6801-06-08</t>
  </si>
  <si>
    <t>78500606</t>
  </si>
  <si>
    <t>ELBOW, 45 DEG STRAIGHT THREAD</t>
  </si>
  <si>
    <t>6802-06-06</t>
  </si>
  <si>
    <t>78640808</t>
  </si>
  <si>
    <t>6500-08-08</t>
  </si>
  <si>
    <t>78490808</t>
  </si>
  <si>
    <t>6801-08-08</t>
  </si>
  <si>
    <t>79712020</t>
  </si>
  <si>
    <t>0319-20</t>
  </si>
  <si>
    <t>78750606</t>
  </si>
  <si>
    <t>TEE, STRAIGHT THREAD RUN</t>
  </si>
  <si>
    <t>6804-06-06-06</t>
  </si>
  <si>
    <t>79301212</t>
  </si>
  <si>
    <t>ELBOW, BEADED INSERT</t>
  </si>
  <si>
    <t>4601-12-12</t>
  </si>
  <si>
    <t>78671212</t>
  </si>
  <si>
    <t>ELBOW, 45 DEGREE SWIVEL NUT</t>
  </si>
  <si>
    <t>6502-12-12</t>
  </si>
  <si>
    <t>78821212</t>
  </si>
  <si>
    <t>SPUD, HEX HEAD TUBE</t>
  </si>
  <si>
    <t>0403-12-12</t>
  </si>
  <si>
    <t>78470604</t>
  </si>
  <si>
    <t>6400-06-04</t>
  </si>
  <si>
    <t>79490606</t>
  </si>
  <si>
    <t>TEE, SWIVEL NUT RUN</t>
  </si>
  <si>
    <t>6602-06-06-06</t>
  </si>
  <si>
    <t>78920606</t>
  </si>
  <si>
    <t>TEST PORT TEE</t>
  </si>
  <si>
    <t>6564-06-06-04</t>
  </si>
  <si>
    <t>78491012</t>
  </si>
  <si>
    <t>6801-10-12</t>
  </si>
  <si>
    <t>78620810</t>
  </si>
  <si>
    <t>1/2 BSPP-7/8 JIC</t>
  </si>
  <si>
    <t>1JB-10-08WD</t>
  </si>
  <si>
    <t>78470810</t>
  </si>
  <si>
    <t>6400-08-10</t>
  </si>
  <si>
    <t>78490810</t>
  </si>
  <si>
    <t>6801-08-10</t>
  </si>
  <si>
    <t>79650808</t>
  </si>
  <si>
    <t>PLUG, HOLLOW HEX HEAD O RING</t>
  </si>
  <si>
    <t>6408-HHP-08</t>
  </si>
  <si>
    <t>78490604</t>
  </si>
  <si>
    <t>6801-06-04</t>
  </si>
  <si>
    <t>79640808</t>
  </si>
  <si>
    <t>PLUG, HEX HEAD O RING</t>
  </si>
  <si>
    <t>6408-08</t>
  </si>
  <si>
    <t>78820812</t>
  </si>
  <si>
    <t>HEX HEAD TUBE SPUD, MALE JIC STRAIGHT BRAZE-ON</t>
  </si>
  <si>
    <t>0403-12-08</t>
  </si>
  <si>
    <t>41T3-6-6</t>
  </si>
  <si>
    <t>9/16MJIC-9/16FJIC_90 LONG</t>
  </si>
  <si>
    <t>2J9-TL-0909</t>
  </si>
  <si>
    <t>79680202</t>
  </si>
  <si>
    <t>PLUG, HOLLOW HEX HEAD PIPE</t>
  </si>
  <si>
    <t>5406-HP-02</t>
  </si>
  <si>
    <t>78170202</t>
  </si>
  <si>
    <t>ELBOW, STREET</t>
  </si>
  <si>
    <t>5502-02-02</t>
  </si>
  <si>
    <t>78180202</t>
  </si>
  <si>
    <t>ELBOW, 45 DEGREE STREET</t>
  </si>
  <si>
    <t>5503-02-02</t>
  </si>
  <si>
    <t>78490404</t>
  </si>
  <si>
    <t>6801-04-04</t>
  </si>
  <si>
    <t>78420606</t>
  </si>
  <si>
    <t>ELBOW, 45 DEG BULKHEAD UNION</t>
  </si>
  <si>
    <t>2702-LN-06-06</t>
  </si>
  <si>
    <t>78470806</t>
  </si>
  <si>
    <t>6400-08-06</t>
  </si>
  <si>
    <t>78641212</t>
  </si>
  <si>
    <t>6500-12-12</t>
  </si>
  <si>
    <t>31590347</t>
  </si>
  <si>
    <t>ELBOW #6-8V50X-S</t>
  </si>
  <si>
    <t>6802-06-08</t>
  </si>
  <si>
    <t>78670606</t>
  </si>
  <si>
    <t>6502-06-06</t>
  </si>
  <si>
    <t>78670808</t>
  </si>
  <si>
    <t>6502-08-08</t>
  </si>
  <si>
    <t>79131212</t>
  </si>
  <si>
    <t>UNION</t>
  </si>
  <si>
    <t>6403-NWO-12-12</t>
  </si>
  <si>
    <t>79700808</t>
  </si>
  <si>
    <t>0318-08</t>
  </si>
  <si>
    <t>78471010</t>
  </si>
  <si>
    <t>6400-10-10</t>
  </si>
  <si>
    <t>78491010</t>
  </si>
  <si>
    <t>6801-10-10</t>
  </si>
  <si>
    <t>31650036</t>
  </si>
  <si>
    <t>TEST PORT, -4 SAE</t>
  </si>
  <si>
    <t>SD-M16X2-D-7/16-20</t>
  </si>
  <si>
    <t>35930212</t>
  </si>
  <si>
    <t>ADAPTOR METRIC TO JIC 90 DEG, M16X1.5 TO 9/16-18 JIC</t>
  </si>
  <si>
    <t>1JH9-06-16OG</t>
  </si>
  <si>
    <t>78481212</t>
  </si>
  <si>
    <t>6400-L-12-12</t>
  </si>
  <si>
    <t>78491620</t>
  </si>
  <si>
    <t>6801-16-20</t>
  </si>
  <si>
    <t>79301008</t>
  </si>
  <si>
    <t>BEADED HOSE BARB x ORB MALE 90° #8-10</t>
  </si>
  <si>
    <t>4601-08-10</t>
  </si>
  <si>
    <t>79680404</t>
  </si>
  <si>
    <t>5406-HP-04</t>
  </si>
  <si>
    <t>Adaptor 8M42</t>
  </si>
  <si>
    <t>78471212</t>
  </si>
  <si>
    <t>6400-12-12</t>
  </si>
  <si>
    <t>78491206</t>
  </si>
  <si>
    <t>6801-12-06</t>
  </si>
  <si>
    <t>78510606</t>
  </si>
  <si>
    <t>CONNECTOR, FEMALE</t>
  </si>
  <si>
    <t>F2405-06-06</t>
  </si>
  <si>
    <t>78631010</t>
  </si>
  <si>
    <t>ADAPTOR, 7/8 JIC (FM) - 7/8 UNO</t>
  </si>
  <si>
    <t>6402-10-10</t>
  </si>
  <si>
    <t>78770606</t>
  </si>
  <si>
    <t>6JIC BULKHEAD TEE</t>
  </si>
  <si>
    <t>2703-LN-06-06-06</t>
  </si>
  <si>
    <t>79651010</t>
  </si>
  <si>
    <t>6408-H-10-O</t>
  </si>
  <si>
    <t>79710404</t>
  </si>
  <si>
    <t>0319-04</t>
  </si>
  <si>
    <t>79300808</t>
  </si>
  <si>
    <t>8MORB X 8BARB 90*</t>
  </si>
  <si>
    <t>4601-08-08</t>
  </si>
  <si>
    <t>79301220</t>
  </si>
  <si>
    <t>1 1/16 UNO - 1 1/4 _90 SUCTIONTAIL</t>
  </si>
  <si>
    <t>4601-20-12</t>
  </si>
  <si>
    <t>79440606</t>
  </si>
  <si>
    <t>6FNPT X 6MJIC 90*</t>
  </si>
  <si>
    <t>6503-06-06</t>
  </si>
  <si>
    <t>79580808</t>
  </si>
  <si>
    <t>CAP, TUBE</t>
  </si>
  <si>
    <t>0304-C-08</t>
  </si>
  <si>
    <t>78382016</t>
  </si>
  <si>
    <t>REDUCER</t>
  </si>
  <si>
    <t>2500-20-16</t>
  </si>
  <si>
    <t>78470404</t>
  </si>
  <si>
    <t>6400-04-04</t>
  </si>
  <si>
    <t>78491210</t>
  </si>
  <si>
    <t>6801-12-10</t>
  </si>
  <si>
    <t>79710808</t>
  </si>
  <si>
    <t>0319-08</t>
  </si>
  <si>
    <t>78620808</t>
  </si>
  <si>
    <t>CONNECTOR, MALE</t>
  </si>
  <si>
    <t>1JB-08WD</t>
  </si>
  <si>
    <t>78471012</t>
  </si>
  <si>
    <t>6400-10-12</t>
  </si>
  <si>
    <t>78491212</t>
  </si>
  <si>
    <t>6801-12-12</t>
  </si>
  <si>
    <t>79581616</t>
  </si>
  <si>
    <t>0304C-16</t>
  </si>
  <si>
    <t>78492020</t>
  </si>
  <si>
    <t>6801-20-20</t>
  </si>
  <si>
    <t>78430602</t>
  </si>
  <si>
    <t>2404-06-02</t>
  </si>
  <si>
    <t>78361216</t>
  </si>
  <si>
    <t>2403-16-12</t>
  </si>
  <si>
    <t>78400606</t>
  </si>
  <si>
    <t>UNION, BULKHEAD</t>
  </si>
  <si>
    <t>2700-LN-06-06</t>
  </si>
  <si>
    <t>78470406</t>
  </si>
  <si>
    <t>6400-04-06</t>
  </si>
  <si>
    <t>78471612</t>
  </si>
  <si>
    <t>6400-16-12</t>
  </si>
  <si>
    <t>78491616</t>
  </si>
  <si>
    <t>6801-16-16</t>
  </si>
  <si>
    <t>78501012</t>
  </si>
  <si>
    <t>ELBOW 45°, ADAPTER, -10 M JIC x -12 M ORB</t>
  </si>
  <si>
    <t>6802-10-12</t>
  </si>
  <si>
    <t>78520606</t>
  </si>
  <si>
    <t>ELBOW MALE JIC - FEMALE NPT #6</t>
  </si>
  <si>
    <t>2502-06-06</t>
  </si>
  <si>
    <t>78620804</t>
  </si>
  <si>
    <t>1JB-08-04WD</t>
  </si>
  <si>
    <t>79660808</t>
  </si>
  <si>
    <t>PLUG, HEX HEAD PIPE</t>
  </si>
  <si>
    <t>5406-P-08</t>
  </si>
  <si>
    <t>79701010</t>
  </si>
  <si>
    <t>0318-10</t>
  </si>
  <si>
    <t>79711616</t>
  </si>
  <si>
    <t>SLEEVE, TUBE 1"</t>
  </si>
  <si>
    <t>0319-16</t>
  </si>
  <si>
    <t>79951010</t>
  </si>
  <si>
    <t>FS1319-10</t>
  </si>
  <si>
    <t>79701616</t>
  </si>
  <si>
    <t>NUT, TUBE 1"</t>
  </si>
  <si>
    <t>0318-16</t>
  </si>
  <si>
    <t>79490808</t>
  </si>
  <si>
    <t>6602-08-08-08</t>
  </si>
  <si>
    <t>78821216</t>
  </si>
  <si>
    <t>0403-16-12</t>
  </si>
  <si>
    <t>79281012</t>
  </si>
  <si>
    <t>REDUCER-EXPANDER</t>
  </si>
  <si>
    <t>6410-10-12</t>
  </si>
  <si>
    <t>79281612</t>
  </si>
  <si>
    <t>O-RING RED/EXPANDER</t>
  </si>
  <si>
    <t>6410-16-12</t>
  </si>
  <si>
    <t>79640404</t>
  </si>
  <si>
    <t>6408-04</t>
  </si>
  <si>
    <t>78490406</t>
  </si>
  <si>
    <t>6801-04-06</t>
  </si>
  <si>
    <t>79050405</t>
  </si>
  <si>
    <t>125-5B</t>
  </si>
  <si>
    <t>79660404</t>
  </si>
  <si>
    <t>5406-P-04</t>
  </si>
  <si>
    <t>21690031</t>
  </si>
  <si>
    <t>PLUG, 1/4 BSPP</t>
  </si>
  <si>
    <t>4BN-04WD</t>
  </si>
  <si>
    <t>35930198</t>
  </si>
  <si>
    <t>7/16" JIC- M12</t>
  </si>
  <si>
    <t>1JM-04-12</t>
  </si>
  <si>
    <t>78361620</t>
  </si>
  <si>
    <t>2403-16-20</t>
  </si>
  <si>
    <t>78471616</t>
  </si>
  <si>
    <t>6400-16-16</t>
  </si>
  <si>
    <t>78472020</t>
  </si>
  <si>
    <t>6400-20-20</t>
  </si>
  <si>
    <t>78480808</t>
  </si>
  <si>
    <t>6400-L-08-08</t>
  </si>
  <si>
    <t>78500808</t>
  </si>
  <si>
    <t>6802-08-08</t>
  </si>
  <si>
    <t>78501010</t>
  </si>
  <si>
    <t>6802-10-10</t>
  </si>
  <si>
    <t>78641010</t>
  </si>
  <si>
    <t>6500-10-10</t>
  </si>
  <si>
    <t>78771212</t>
  </si>
  <si>
    <t>TEE, BULKHEAD BRANCH</t>
  </si>
  <si>
    <t>2703-LN-12-12-12</t>
  </si>
  <si>
    <t>79281010</t>
  </si>
  <si>
    <t>10MORB X 10FORB 90*</t>
  </si>
  <si>
    <t>6815-10-10</t>
  </si>
  <si>
    <t>79300806</t>
  </si>
  <si>
    <t>3/4 UNO-3/8_90 SUTIONTAIL</t>
  </si>
  <si>
    <t>4601-06-08</t>
  </si>
  <si>
    <t>79302424</t>
  </si>
  <si>
    <t>4601-24-24</t>
  </si>
  <si>
    <t>79312424</t>
  </si>
  <si>
    <t>24ORB X 24BARB 45*</t>
  </si>
  <si>
    <t>4603-24-24</t>
  </si>
  <si>
    <t>79500606</t>
  </si>
  <si>
    <t>TEE, SWIVEL NUT BRANCH</t>
  </si>
  <si>
    <t>6600-06-06-06</t>
  </si>
  <si>
    <t>79580606</t>
  </si>
  <si>
    <t>0304C-06</t>
  </si>
  <si>
    <t>79871620</t>
  </si>
  <si>
    <t>1JFLH9-2120</t>
  </si>
  <si>
    <t>31601017</t>
  </si>
  <si>
    <t>1901-32(10.9J)</t>
  </si>
  <si>
    <t>78471008</t>
  </si>
  <si>
    <t>6400-10-08</t>
  </si>
  <si>
    <t>78640404</t>
  </si>
  <si>
    <t>6500-04-04</t>
  </si>
  <si>
    <t>78920808</t>
  </si>
  <si>
    <t>6564-08-08-04</t>
  </si>
  <si>
    <t>79130606</t>
  </si>
  <si>
    <t>UNION - 9/16 UNO- 9/16 UNO</t>
  </si>
  <si>
    <t>6403-NWO-06-06</t>
  </si>
  <si>
    <t>79643232</t>
  </si>
  <si>
    <t>PLUG</t>
  </si>
  <si>
    <t>6408-32</t>
  </si>
  <si>
    <t>51990020</t>
  </si>
  <si>
    <t>O-RING ADAPTOR - NIPPLE</t>
  </si>
  <si>
    <t>6403-06-06</t>
  </si>
  <si>
    <t>79641212</t>
  </si>
  <si>
    <t>6408-12</t>
  </si>
  <si>
    <t>36340030</t>
  </si>
  <si>
    <t>Elbow 90° 3/4" UNF X 3/4" FEMALE JIC SWIVEL FOR HVAC</t>
  </si>
  <si>
    <t>6501-12-12</t>
  </si>
  <si>
    <t>78170404</t>
  </si>
  <si>
    <t>5502-04-04</t>
  </si>
  <si>
    <t>78352016</t>
  </si>
  <si>
    <t>REDUCER, PIPE THREAD</t>
  </si>
  <si>
    <t>NJ-5406-20-16</t>
  </si>
  <si>
    <t>78361220</t>
  </si>
  <si>
    <t>NJ-2403-20-12</t>
  </si>
  <si>
    <t>78430804</t>
  </si>
  <si>
    <t>NJ-2404-08-04</t>
  </si>
  <si>
    <t>78471208</t>
  </si>
  <si>
    <t>6400-12-08</t>
  </si>
  <si>
    <t>78501210</t>
  </si>
  <si>
    <t>78560808</t>
  </si>
  <si>
    <t>ELBOW LONG 90°, ADAPTER, -08 M JIC x -08 M ORB</t>
  </si>
  <si>
    <t>6801-LLL-08-08</t>
  </si>
  <si>
    <t>78570606</t>
  </si>
  <si>
    <t>CONNECTOR, MALE BULKHEAD (6-6 WFTX)</t>
  </si>
  <si>
    <t>2706-LN-06-06</t>
  </si>
  <si>
    <t>78740606</t>
  </si>
  <si>
    <t>TEE, STRAIGHT THREAD BRANCH</t>
  </si>
  <si>
    <t>6803-06-06-06</t>
  </si>
  <si>
    <t>78830808</t>
  </si>
  <si>
    <t>ADAPTER, JIC, 1/2"-1/2"</t>
  </si>
  <si>
    <t>NJ-6505-08-08</t>
  </si>
  <si>
    <t>79051616</t>
  </si>
  <si>
    <t>4444-16-16</t>
  </si>
  <si>
    <t>79381212</t>
  </si>
  <si>
    <t>ADAPTER, FEMALE</t>
  </si>
  <si>
    <t>6505-12-12</t>
  </si>
  <si>
    <t>79640606</t>
  </si>
  <si>
    <t>6408-06</t>
  </si>
  <si>
    <t>79841222</t>
  </si>
  <si>
    <t>ELBOW 90°, ADAPTER, -12 M JIC x -22 M METRIC</t>
  </si>
  <si>
    <t>1JH9-12-22OG</t>
  </si>
  <si>
    <t>51700067</t>
  </si>
  <si>
    <t>ADAPTER, PIPE TO METRIC</t>
  </si>
  <si>
    <t>5HN-10-02YL</t>
  </si>
  <si>
    <t>79491212</t>
  </si>
  <si>
    <t>6602-12-12-12</t>
  </si>
  <si>
    <t>35900028</t>
  </si>
  <si>
    <t>TEE, BRASS SAE -06</t>
  </si>
  <si>
    <t>123-6</t>
  </si>
  <si>
    <t>78470812</t>
  </si>
  <si>
    <t>6400-08-12</t>
  </si>
  <si>
    <t>78471210</t>
  </si>
  <si>
    <t>6400-12-10</t>
  </si>
  <si>
    <t>78491216</t>
  </si>
  <si>
    <t>6801-12-16</t>
  </si>
  <si>
    <t>78820808</t>
  </si>
  <si>
    <t>0403-08-08</t>
  </si>
  <si>
    <t>79491010</t>
  </si>
  <si>
    <t>6602-10-10-10</t>
  </si>
  <si>
    <t>79670404</t>
  </si>
  <si>
    <t>PLUG, SQUARE HEAD PIPE</t>
  </si>
  <si>
    <t>5406-SHP-04</t>
  </si>
  <si>
    <t>79931210</t>
  </si>
  <si>
    <t>FITTING, REDUCER - 7/8 JIC M - 1 1/16 JIC F</t>
  </si>
  <si>
    <t>2406-12-10</t>
  </si>
  <si>
    <t>31650041</t>
  </si>
  <si>
    <t>FITTING, 90 DEG. ELBOW , 6 JIC X M12 ORB</t>
  </si>
  <si>
    <t>1JH9-06-12OG</t>
  </si>
  <si>
    <t>78361616</t>
  </si>
  <si>
    <t>2403-16-16</t>
  </si>
  <si>
    <t>78411212</t>
  </si>
  <si>
    <t>ELBOW, BULKHEAD UNION</t>
  </si>
  <si>
    <t>2701-LN-12-12</t>
  </si>
  <si>
    <t>78631212</t>
  </si>
  <si>
    <t>6402-12-12</t>
  </si>
  <si>
    <t>78711620</t>
  </si>
  <si>
    <t>TEE, UNION</t>
  </si>
  <si>
    <t>2603-16-16-20</t>
  </si>
  <si>
    <t>78821616</t>
  </si>
  <si>
    <t>0403-16-16</t>
  </si>
  <si>
    <t>79050205</t>
  </si>
  <si>
    <t>HOSE BARB MALE</t>
  </si>
  <si>
    <t>125-5A</t>
  </si>
  <si>
    <t>79301612</t>
  </si>
  <si>
    <t>4601-12-16</t>
  </si>
  <si>
    <t>79301616</t>
  </si>
  <si>
    <t>4601-16-16</t>
  </si>
  <si>
    <t>79302020</t>
  </si>
  <si>
    <t>4601-20-20</t>
  </si>
  <si>
    <t>79312020</t>
  </si>
  <si>
    <t>NIPPLE, 45 O RING BOSS</t>
  </si>
  <si>
    <t>4603-20-20</t>
  </si>
  <si>
    <t>79391212</t>
  </si>
  <si>
    <t>TEE, FEMALE PIPE</t>
  </si>
  <si>
    <t>5605-12-12-12</t>
  </si>
  <si>
    <t>79581212</t>
  </si>
  <si>
    <t>0304C-12</t>
  </si>
  <si>
    <t>79650404</t>
  </si>
  <si>
    <t>6408-H-04-O</t>
  </si>
  <si>
    <t>79663232</t>
  </si>
  <si>
    <t>5406-P-32</t>
  </si>
  <si>
    <t>79931208</t>
  </si>
  <si>
    <t>TUBE END REDUCER W/NUT</t>
  </si>
  <si>
    <t>2406-12-08</t>
  </si>
  <si>
    <t>51990021</t>
  </si>
  <si>
    <t>6403-12-12</t>
  </si>
  <si>
    <t>51990039</t>
  </si>
  <si>
    <t>O-RING UNION</t>
  </si>
  <si>
    <t>6403-08-06</t>
  </si>
  <si>
    <t>78012020</t>
  </si>
  <si>
    <t>NIPPLE, PIPE</t>
  </si>
  <si>
    <t>5404-20-20</t>
  </si>
  <si>
    <t>78271212</t>
  </si>
  <si>
    <t>NIPPLE, 90 DEGREE ELBOW, MNPT</t>
  </si>
  <si>
    <t>4501-12-12</t>
  </si>
  <si>
    <t>78272020</t>
  </si>
  <si>
    <t>NIPPLE, 90 DEG MALE</t>
  </si>
  <si>
    <t>4501-20-20</t>
  </si>
  <si>
    <t>78440602</t>
  </si>
  <si>
    <t>ELBOW, MALE</t>
  </si>
  <si>
    <t>2501-06-02</t>
  </si>
  <si>
    <t>78490610</t>
  </si>
  <si>
    <t>6801-06-10</t>
  </si>
  <si>
    <t>78820606</t>
  </si>
  <si>
    <t>NJ-0403-06-06</t>
  </si>
  <si>
    <t>79641616</t>
  </si>
  <si>
    <t>6408-10</t>
  </si>
  <si>
    <t>79662020</t>
  </si>
  <si>
    <t>HEX HEAD PIPE PLUG, MALE 1 1/4 NPT</t>
  </si>
  <si>
    <t>5406-P-20</t>
  </si>
  <si>
    <t>31650052</t>
  </si>
  <si>
    <t>ELBOW, 90 DEG, 6 JIC X M14 ORB</t>
  </si>
  <si>
    <t>1JH9-06-14OG</t>
  </si>
  <si>
    <t>78381612</t>
  </si>
  <si>
    <t>ELBOW, UNION</t>
  </si>
  <si>
    <t>2500-16-12</t>
  </si>
  <si>
    <t>78481616</t>
  </si>
  <si>
    <t>6400-L-16-16</t>
  </si>
  <si>
    <t>78490806</t>
  </si>
  <si>
    <t>6801-08-06</t>
  </si>
  <si>
    <t>78501212</t>
  </si>
  <si>
    <t>6802-12-12-NOW-FG</t>
  </si>
  <si>
    <t>78632016</t>
  </si>
  <si>
    <t>6402-16-20</t>
  </si>
  <si>
    <t>78682020</t>
  </si>
  <si>
    <t>1JFL-12-20(AT)</t>
  </si>
  <si>
    <t>78711212</t>
  </si>
  <si>
    <t>2603-12-12-12</t>
  </si>
  <si>
    <t>78711616</t>
  </si>
  <si>
    <t>2603-16-16-16</t>
  </si>
  <si>
    <t>78751616</t>
  </si>
  <si>
    <t>6804-16-16-16</t>
  </si>
  <si>
    <t>78882020</t>
  </si>
  <si>
    <t>UNION FITTING, JIC-JIC</t>
  </si>
  <si>
    <t>6510-20-20</t>
  </si>
  <si>
    <t>79132020</t>
  </si>
  <si>
    <t>6403-NWO-20-20</t>
  </si>
  <si>
    <t>79140302</t>
  </si>
  <si>
    <t>FITTING, 3/8 STR 1/8 FEM NTP</t>
  </si>
  <si>
    <t>6405-03-02</t>
  </si>
  <si>
    <t>79140604</t>
  </si>
  <si>
    <t>ADAPTER, FEMALE PIPE</t>
  </si>
  <si>
    <t>6405-06-04</t>
  </si>
  <si>
    <t>79282020</t>
  </si>
  <si>
    <t>ELBOW, 90 O RING BOSS</t>
  </si>
  <si>
    <t>6815-20-20</t>
  </si>
  <si>
    <t>79291212</t>
  </si>
  <si>
    <t>INSERT, BEADED</t>
  </si>
  <si>
    <t>79292424</t>
  </si>
  <si>
    <t>4604-24-24</t>
  </si>
  <si>
    <t>H2J-1408</t>
  </si>
  <si>
    <t>79631616</t>
  </si>
  <si>
    <t>PLUG, STEEL (JIC)</t>
  </si>
  <si>
    <t>2408-16</t>
  </si>
  <si>
    <t>79661616</t>
  </si>
  <si>
    <t>5406-P-16</t>
  </si>
  <si>
    <t>79711010</t>
  </si>
  <si>
    <t>0319-10</t>
  </si>
  <si>
    <t>79872020</t>
  </si>
  <si>
    <t>1JFS9-20FG</t>
  </si>
  <si>
    <t>79872024</t>
  </si>
  <si>
    <t>ELBOW, 90M DEGREE MALE JIC TO O-RING CODE 62</t>
  </si>
  <si>
    <t>1JFLH9-2624</t>
  </si>
  <si>
    <t>79930604</t>
  </si>
  <si>
    <t>TUBE REDUCER</t>
  </si>
  <si>
    <t>2406-06-04</t>
  </si>
  <si>
    <t>BD51410002</t>
  </si>
  <si>
    <t>6807-20-20</t>
  </si>
  <si>
    <t>BD51410003</t>
  </si>
  <si>
    <t>6807-12-12</t>
  </si>
  <si>
    <t>G920825</t>
  </si>
  <si>
    <t>MALE ELBOW</t>
  </si>
  <si>
    <t>1JG9-04OG</t>
  </si>
  <si>
    <t>51340017</t>
  </si>
  <si>
    <t>CONNECTOR - RESTRICTOR</t>
  </si>
  <si>
    <t>6400-06-06R.062</t>
  </si>
  <si>
    <t>51464003</t>
  </si>
  <si>
    <t>ELBOW SW.NUT TO STRAIGHT THRD.</t>
  </si>
  <si>
    <t>6809-06-06</t>
  </si>
  <si>
    <t>51604005</t>
  </si>
  <si>
    <t>TEE, ORING BOSS</t>
  </si>
  <si>
    <t>6832-16-16-16</t>
  </si>
  <si>
    <t>78010404</t>
  </si>
  <si>
    <t>3325xBB</t>
  </si>
  <si>
    <t>78012424</t>
  </si>
  <si>
    <t>5404-24-24</t>
  </si>
  <si>
    <t>78172424</t>
  </si>
  <si>
    <t>5502-24-24</t>
  </si>
  <si>
    <t>78261212</t>
  </si>
  <si>
    <t>4404-12-12</t>
  </si>
  <si>
    <t>78262420</t>
  </si>
  <si>
    <t>NIPPLE, STR 1 1/4 PIPE X 1 1/2 HOSE</t>
  </si>
  <si>
    <t>4404-24-20</t>
  </si>
  <si>
    <t>78262424</t>
  </si>
  <si>
    <t>4404-24-24</t>
  </si>
  <si>
    <t>78271616</t>
  </si>
  <si>
    <t>4501-16-16</t>
  </si>
  <si>
    <t>78281616</t>
  </si>
  <si>
    <t>HOSE INSERT,45 DEG PIPE</t>
  </si>
  <si>
    <t>4503-16-16</t>
  </si>
  <si>
    <t>78360808</t>
  </si>
  <si>
    <t>2403-08-08</t>
  </si>
  <si>
    <t>78430612</t>
  </si>
  <si>
    <t>2404-06-12</t>
  </si>
  <si>
    <t>78430808</t>
  </si>
  <si>
    <t>2404-08-08</t>
  </si>
  <si>
    <t>78441212</t>
  </si>
  <si>
    <t>2501-12-12</t>
  </si>
  <si>
    <t>78641616</t>
  </si>
  <si>
    <t>6500-16-16</t>
  </si>
  <si>
    <t>79931206</t>
  </si>
  <si>
    <t>REDUCER, TUBE END W/NUT</t>
  </si>
  <si>
    <t>2406-12-06</t>
  </si>
  <si>
    <t>79931612</t>
  </si>
  <si>
    <t>2406-16-12</t>
  </si>
  <si>
    <t>BD51950008</t>
  </si>
  <si>
    <t>COUPLING</t>
  </si>
  <si>
    <t>H5P-1006(S22)</t>
  </si>
  <si>
    <t>31590727</t>
  </si>
  <si>
    <t>PLUG, COUNTERSUNK HEX</t>
  </si>
  <si>
    <t>5406-HP-06</t>
  </si>
  <si>
    <t>78310404</t>
  </si>
  <si>
    <t>CONVERSION ADAPTER</t>
  </si>
  <si>
    <t>5BN-04</t>
  </si>
  <si>
    <t>78402020</t>
  </si>
  <si>
    <t>2700-LN-20-20</t>
  </si>
  <si>
    <t>78642020</t>
  </si>
  <si>
    <t>6500-20-20</t>
  </si>
  <si>
    <t>79702020</t>
  </si>
  <si>
    <t>0318-20(MJT)</t>
  </si>
  <si>
    <t>79932016</t>
  </si>
  <si>
    <t>REDUCER, TUBE END W/NUT USE 78602016</t>
  </si>
  <si>
    <t>2406-20-16</t>
  </si>
  <si>
    <t>31680004</t>
  </si>
  <si>
    <t>ORIFICE,0.062,UNION FTG (#8 JIC)</t>
  </si>
  <si>
    <t>2403-08-08R.063</t>
  </si>
  <si>
    <t>31590002</t>
  </si>
  <si>
    <t>FITTING, MALE ADAPTER, 1/4 BSPP X 3/4-16 (JIC)</t>
  </si>
  <si>
    <t>31590319</t>
  </si>
  <si>
    <t>ELBOW, G1/4 - 3/8 JIC</t>
  </si>
  <si>
    <t>1JG9-06-04OG</t>
  </si>
  <si>
    <t>31690089</t>
  </si>
  <si>
    <t>PLUG, HOLLOW HEX 1/4 BSPP</t>
  </si>
  <si>
    <t>78351608</t>
  </si>
  <si>
    <t>5406-16-08</t>
  </si>
  <si>
    <t>78380808</t>
  </si>
  <si>
    <t>2500-08-08</t>
  </si>
  <si>
    <t>78382020</t>
  </si>
  <si>
    <t>2500-20-20</t>
  </si>
  <si>
    <t>78410808</t>
  </si>
  <si>
    <t>2701-08-08</t>
  </si>
  <si>
    <t>78430608</t>
  </si>
  <si>
    <t>2404-06-08</t>
  </si>
  <si>
    <t>78430812</t>
  </si>
  <si>
    <t>NJ-2404-08-12</t>
  </si>
  <si>
    <t>78440608</t>
  </si>
  <si>
    <t>501-06-08</t>
  </si>
  <si>
    <t>78440804</t>
  </si>
  <si>
    <t>2501-08-04</t>
  </si>
  <si>
    <t>78470408</t>
  </si>
  <si>
    <t>6400-04-08</t>
  </si>
  <si>
    <t>78471220</t>
  </si>
  <si>
    <t>6400-12-20</t>
  </si>
  <si>
    <t>78472016</t>
  </si>
  <si>
    <t>6400-20-16</t>
  </si>
  <si>
    <t>78472024</t>
  </si>
  <si>
    <t>6400-20-24</t>
  </si>
  <si>
    <t>78490812</t>
  </si>
  <si>
    <t>6801-08-12</t>
  </si>
  <si>
    <t>78491220</t>
  </si>
  <si>
    <t>6801-12-20</t>
  </si>
  <si>
    <t>78492016</t>
  </si>
  <si>
    <t>6801-20-16</t>
  </si>
  <si>
    <t>78500810</t>
  </si>
  <si>
    <t>6802-08-10</t>
  </si>
  <si>
    <t>78501616</t>
  </si>
  <si>
    <t>6802-16-16</t>
  </si>
  <si>
    <t>78501620</t>
  </si>
  <si>
    <t>6802-16-20</t>
  </si>
  <si>
    <t>78502020</t>
  </si>
  <si>
    <t>6802-20-20</t>
  </si>
  <si>
    <t>78601606</t>
  </si>
  <si>
    <t>REDUCER, TUBE END</t>
  </si>
  <si>
    <t>2406-16-06</t>
  </si>
  <si>
    <t>78610606</t>
  </si>
  <si>
    <t>0500-06-06</t>
  </si>
  <si>
    <t>78610608</t>
  </si>
  <si>
    <t>SPUD, 1/2" TUBE X 3/8" JIC 90 DEGREE</t>
  </si>
  <si>
    <t>F0500-06-08</t>
  </si>
  <si>
    <t>78630808</t>
  </si>
  <si>
    <t>CONNECTOR, STRAIGHT THREAD SWIVEL</t>
  </si>
  <si>
    <t>6402-08-08</t>
  </si>
  <si>
    <t>78631616</t>
  </si>
  <si>
    <t>6402-16-16</t>
  </si>
  <si>
    <t>78641216</t>
  </si>
  <si>
    <t>6500-12-16</t>
  </si>
  <si>
    <t>78710808</t>
  </si>
  <si>
    <t>2603-08-08-08</t>
  </si>
  <si>
    <t>78711612</t>
  </si>
  <si>
    <t>2603-16-16-12</t>
  </si>
  <si>
    <t>78712020</t>
  </si>
  <si>
    <t>2603-20-20-20</t>
  </si>
  <si>
    <t>78750812</t>
  </si>
  <si>
    <t>TEE, STRAIGHT RUN, FLARE &amp; ORB</t>
  </si>
  <si>
    <t>6804-08-12-08</t>
  </si>
  <si>
    <t>78841212</t>
  </si>
  <si>
    <t>1JFS-12(AT)</t>
  </si>
  <si>
    <t>78920404</t>
  </si>
  <si>
    <t>6564-04-04-04</t>
  </si>
  <si>
    <t>78921212</t>
  </si>
  <si>
    <t>6564-12-12-04</t>
  </si>
  <si>
    <t>79130806</t>
  </si>
  <si>
    <t>UNION - 3/4 UNO- 9/16 UNO</t>
  </si>
  <si>
    <t>6403-NWO-08-06</t>
  </si>
  <si>
    <t>79131616</t>
  </si>
  <si>
    <t>6403-NWO-16-16</t>
  </si>
  <si>
    <t>79151616</t>
  </si>
  <si>
    <t>ELBOW, FEMALE</t>
  </si>
  <si>
    <t>6805-16-16</t>
  </si>
  <si>
    <t>79280810</t>
  </si>
  <si>
    <t>STR RED/EXP, -08 M ORB x -10 F ORB</t>
  </si>
  <si>
    <t>6410-08-10</t>
  </si>
  <si>
    <t>79292020</t>
  </si>
  <si>
    <t>4604-20-20</t>
  </si>
  <si>
    <t>79491616</t>
  </si>
  <si>
    <t>6602-16-16-16</t>
  </si>
  <si>
    <t>79492020</t>
  </si>
  <si>
    <t>TEE, SWIVEL NUT RUN SAME AS 35930147</t>
  </si>
  <si>
    <t>79500808</t>
  </si>
  <si>
    <t>6600-08-08-08</t>
  </si>
  <si>
    <t>79501212</t>
  </si>
  <si>
    <t>6600-12-12-12</t>
  </si>
  <si>
    <t>79582020</t>
  </si>
  <si>
    <t>0304C-20</t>
  </si>
  <si>
    <t>79642020</t>
  </si>
  <si>
    <t>NJ-6408-20-O</t>
  </si>
  <si>
    <t>79642424</t>
  </si>
  <si>
    <t>6408-24</t>
  </si>
  <si>
    <t>79680808</t>
  </si>
  <si>
    <t>5406-HP-08</t>
  </si>
  <si>
    <t>79682020</t>
  </si>
  <si>
    <t>5406-HP-20</t>
  </si>
  <si>
    <t>79831208</t>
  </si>
  <si>
    <t>FITTING, EXPANDER, 3/4-1/2</t>
  </si>
  <si>
    <t>2406-08-12</t>
  </si>
  <si>
    <t>79832016</t>
  </si>
  <si>
    <t>FITTING, EXPANDER, 1 - 1 1/4</t>
  </si>
  <si>
    <t>6504-20-16</t>
  </si>
  <si>
    <t>79840614</t>
  </si>
  <si>
    <t>ELBOW, 90 DEG</t>
  </si>
  <si>
    <t>79931608</t>
  </si>
  <si>
    <t>2406-16-08</t>
  </si>
  <si>
    <t>79932012</t>
  </si>
  <si>
    <t>2406-20-12</t>
  </si>
  <si>
    <t>79960606</t>
  </si>
  <si>
    <t>TEE, F. JIC X F.JIC X F.JIC, 3/8"</t>
  </si>
  <si>
    <t>6606-06-06-06</t>
  </si>
  <si>
    <t>79961212</t>
  </si>
  <si>
    <t>TEE, SWIVEL</t>
  </si>
  <si>
    <t>6606-12-12-12</t>
  </si>
  <si>
    <t>55910009</t>
  </si>
  <si>
    <t>ADAPTOR, 3/4 MNPT TO 3/4 FBSPT</t>
  </si>
  <si>
    <t>5NB-12</t>
  </si>
  <si>
    <t>79150604</t>
  </si>
  <si>
    <t>MB-FP 90</t>
  </si>
  <si>
    <t>NJ-6805-6-4-NOW-FG</t>
  </si>
  <si>
    <t>Amount</t>
  </si>
  <si>
    <t>USD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</si>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</sst>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CD6ED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3" fontId="2" fillId="4" borderId="2" xfId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right" vertical="top"/>
    </xf>
    <xf numFmtId="14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164" fontId="6" fillId="8" borderId="2" xfId="1" applyNumberFormat="1" applyFont="1" applyFill="1" applyBorder="1" applyAlignment="1">
      <alignment horizontal="center" vertical="center" wrapText="1"/>
    </xf>
    <xf numFmtId="164" fontId="7" fillId="0" borderId="2" xfId="1" applyNumberFormat="1" applyFont="1" applyBorder="1" applyAlignment="1">
      <alignment vertical="center" wrapText="1"/>
    </xf>
    <xf numFmtId="164" fontId="7" fillId="0" borderId="0" xfId="1" applyNumberFormat="1" applyFont="1" applyAlignment="1">
      <alignment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0" xfId="1" applyNumberFormat="1" applyFont="1" applyAlignment="1">
      <alignment horizontal="left" vertical="center" wrapText="1"/>
    </xf>
    <xf numFmtId="164" fontId="6" fillId="0" borderId="2" xfId="0" applyNumberFormat="1" applyFont="1" applyBorder="1" applyAlignment="1">
      <alignment vertical="center" wrapText="1"/>
    </xf>
    <xf numFmtId="164" fontId="8" fillId="7" borderId="2" xfId="1" applyNumberFormat="1" applyFont="1" applyFill="1" applyBorder="1" applyAlignment="1">
      <alignment vertical="center" wrapText="1"/>
    </xf>
    <xf numFmtId="0" fontId="7" fillId="0" borderId="0" xfId="0" applyFont="1"/>
    <xf numFmtId="43" fontId="7" fillId="0" borderId="2" xfId="1" applyFont="1" applyBorder="1"/>
    <xf numFmtId="164" fontId="7" fillId="0" borderId="2" xfId="1" applyNumberFormat="1" applyFont="1" applyBorder="1"/>
    <xf numFmtId="0" fontId="7" fillId="0" borderId="2" xfId="0" applyFont="1" applyBorder="1"/>
    <xf numFmtId="0" fontId="7" fillId="6" borderId="0" xfId="0" applyFont="1" applyFill="1"/>
    <xf numFmtId="43" fontId="6" fillId="0" borderId="2" xfId="1" applyFont="1" applyBorder="1"/>
    <xf numFmtId="43" fontId="8" fillId="7" borderId="2" xfId="1" applyFont="1" applyFill="1" applyBorder="1"/>
    <xf numFmtId="43" fontId="7" fillId="0" borderId="0" xfId="1" applyFont="1"/>
    <xf numFmtId="164" fontId="7" fillId="0" borderId="0" xfId="1" applyNumberFormat="1" applyFont="1"/>
  </cellXfs>
  <cellStyles count="2">
    <cellStyle name="Comma" xfId="1" builtinId="3"/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AE31-E164-4697-850F-D675BBDF5C9F}">
  <dimension ref="A1:R95"/>
  <sheetViews>
    <sheetView zoomScaleNormal="100" workbookViewId="0">
      <pane ySplit="1" topLeftCell="A2" activePane="bottomLeft" state="frozen"/>
      <selection pane="bottomLeft" sqref="A1:XFD1048576"/>
    </sheetView>
  </sheetViews>
  <sheetFormatPr defaultRowHeight="12.75" x14ac:dyDescent="0.2"/>
  <cols>
    <col min="1" max="1" width="14.5703125" style="23" bestFit="1" customWidth="1"/>
    <col min="2" max="2" width="32.28515625" style="23" bestFit="1" customWidth="1"/>
    <col min="3" max="4" width="9.140625" style="23" bestFit="1" customWidth="1"/>
    <col min="5" max="5" width="13.140625" style="27" bestFit="1" customWidth="1"/>
    <col min="6" max="6" width="63.28515625" style="23" bestFit="1" customWidth="1"/>
    <col min="7" max="7" width="13.85546875" style="23" bestFit="1" customWidth="1"/>
    <col min="8" max="8" width="12.7109375" style="23" bestFit="1" customWidth="1"/>
    <col min="9" max="9" width="18.42578125" style="23" bestFit="1" customWidth="1"/>
    <col min="10" max="10" width="16.28515625" style="23" bestFit="1" customWidth="1"/>
    <col min="11" max="11" width="14.7109375" style="23" bestFit="1" customWidth="1"/>
    <col min="12" max="12" width="4.85546875" style="23" customWidth="1"/>
    <col min="13" max="13" width="13.28515625" style="30" bestFit="1" customWidth="1"/>
    <col min="14" max="14" width="17.140625" style="31" bestFit="1" customWidth="1"/>
    <col min="15" max="15" width="5.28515625" style="23" customWidth="1"/>
    <col min="16" max="16" width="10.28515625" style="23" bestFit="1" customWidth="1"/>
    <col min="17" max="17" width="11.42578125" style="23" customWidth="1"/>
    <col min="18" max="18" width="10.140625" style="23" bestFit="1" customWidth="1"/>
    <col min="19" max="16384" width="9.140625" style="23"/>
  </cols>
  <sheetData>
    <row r="1" spans="1:18" ht="15" customHeight="1" x14ac:dyDescent="0.2">
      <c r="A1" s="1" t="s">
        <v>128</v>
      </c>
      <c r="B1" s="1" t="s">
        <v>205</v>
      </c>
      <c r="C1" s="1" t="s">
        <v>240</v>
      </c>
      <c r="D1" s="1" t="s">
        <v>283</v>
      </c>
      <c r="E1" s="2" t="s">
        <v>18</v>
      </c>
      <c r="F1" s="1" t="s">
        <v>109</v>
      </c>
      <c r="G1" s="1" t="s">
        <v>121</v>
      </c>
      <c r="H1" s="1" t="s">
        <v>28</v>
      </c>
      <c r="I1" s="1" t="s">
        <v>172</v>
      </c>
      <c r="J1" s="1" t="s">
        <v>188</v>
      </c>
      <c r="K1" s="1" t="s">
        <v>56</v>
      </c>
      <c r="M1" s="3" t="s">
        <v>288</v>
      </c>
      <c r="N1" s="4" t="s">
        <v>289</v>
      </c>
      <c r="P1" s="5" t="s">
        <v>290</v>
      </c>
      <c r="Q1" s="6" t="s">
        <v>291</v>
      </c>
      <c r="R1" s="5" t="s">
        <v>292</v>
      </c>
    </row>
    <row r="2" spans="1:18" x14ac:dyDescent="0.2">
      <c r="A2" s="7" t="s">
        <v>29</v>
      </c>
      <c r="B2" s="7" t="s">
        <v>48</v>
      </c>
      <c r="C2" s="7">
        <v>23000378</v>
      </c>
      <c r="D2" s="7">
        <v>1</v>
      </c>
      <c r="E2" s="8" t="s">
        <v>134</v>
      </c>
      <c r="F2" s="7" t="s">
        <v>81</v>
      </c>
      <c r="G2" s="9">
        <v>3.2</v>
      </c>
      <c r="H2" s="9">
        <v>30</v>
      </c>
      <c r="I2" s="7" t="s">
        <v>222</v>
      </c>
      <c r="J2" s="7" t="s">
        <v>107</v>
      </c>
      <c r="K2" s="10">
        <v>44985</v>
      </c>
      <c r="M2" s="24">
        <f>G2*H2</f>
        <v>96</v>
      </c>
      <c r="N2" s="25">
        <f>M2*25600</f>
        <v>2457600</v>
      </c>
      <c r="P2" s="26"/>
      <c r="Q2" s="26"/>
      <c r="R2" s="26"/>
    </row>
    <row r="3" spans="1:18" x14ac:dyDescent="0.2">
      <c r="A3" s="7" t="s">
        <v>29</v>
      </c>
      <c r="B3" s="7" t="s">
        <v>48</v>
      </c>
      <c r="C3" s="7">
        <v>23000378</v>
      </c>
      <c r="D3" s="7">
        <v>2</v>
      </c>
      <c r="E3" s="8" t="s">
        <v>113</v>
      </c>
      <c r="F3" s="7" t="s">
        <v>112</v>
      </c>
      <c r="G3" s="9">
        <v>2.13</v>
      </c>
      <c r="H3" s="9">
        <v>175</v>
      </c>
      <c r="I3" s="7" t="s">
        <v>222</v>
      </c>
      <c r="J3" s="7" t="s">
        <v>41</v>
      </c>
      <c r="K3" s="10">
        <v>44985</v>
      </c>
      <c r="M3" s="24">
        <f t="shared" ref="M3:M66" si="0">G3*H3</f>
        <v>372.75</v>
      </c>
      <c r="N3" s="25">
        <f t="shared" ref="N3:N66" si="1">M3*25600</f>
        <v>9542400</v>
      </c>
      <c r="P3" s="26"/>
      <c r="Q3" s="26"/>
      <c r="R3" s="26"/>
    </row>
    <row r="4" spans="1:18" x14ac:dyDescent="0.2">
      <c r="A4" s="7" t="s">
        <v>29</v>
      </c>
      <c r="B4" s="7" t="s">
        <v>48</v>
      </c>
      <c r="C4" s="7">
        <v>23000378</v>
      </c>
      <c r="D4" s="7">
        <v>3</v>
      </c>
      <c r="E4" s="8" t="s">
        <v>258</v>
      </c>
      <c r="F4" s="7" t="s">
        <v>112</v>
      </c>
      <c r="G4" s="9">
        <v>4.3499999999999996</v>
      </c>
      <c r="H4" s="9">
        <v>100</v>
      </c>
      <c r="I4" s="7" t="s">
        <v>222</v>
      </c>
      <c r="J4" s="7" t="s">
        <v>19</v>
      </c>
      <c r="K4" s="10">
        <v>44985</v>
      </c>
      <c r="M4" s="24">
        <f t="shared" si="0"/>
        <v>434.99999999999994</v>
      </c>
      <c r="N4" s="25">
        <f t="shared" si="1"/>
        <v>11135999.999999998</v>
      </c>
      <c r="P4" s="26"/>
      <c r="Q4" s="26"/>
      <c r="R4" s="26"/>
    </row>
    <row r="5" spans="1:18" x14ac:dyDescent="0.2">
      <c r="A5" s="7" t="s">
        <v>29</v>
      </c>
      <c r="B5" s="7" t="s">
        <v>48</v>
      </c>
      <c r="C5" s="7">
        <v>23000378</v>
      </c>
      <c r="D5" s="7">
        <v>4</v>
      </c>
      <c r="E5" s="8" t="s">
        <v>147</v>
      </c>
      <c r="F5" s="7" t="s">
        <v>3</v>
      </c>
      <c r="G5" s="9">
        <v>2.3199999999999998</v>
      </c>
      <c r="H5" s="9">
        <v>53</v>
      </c>
      <c r="I5" s="7" t="s">
        <v>222</v>
      </c>
      <c r="J5" s="7" t="s">
        <v>175</v>
      </c>
      <c r="K5" s="10">
        <v>44985</v>
      </c>
      <c r="M5" s="24">
        <f t="shared" si="0"/>
        <v>122.96</v>
      </c>
      <c r="N5" s="25">
        <f t="shared" si="1"/>
        <v>3147776</v>
      </c>
      <c r="P5" s="26"/>
      <c r="Q5" s="26"/>
      <c r="R5" s="26"/>
    </row>
    <row r="6" spans="1:18" x14ac:dyDescent="0.2">
      <c r="A6" s="7" t="s">
        <v>176</v>
      </c>
      <c r="B6" s="7" t="s">
        <v>50</v>
      </c>
      <c r="C6" s="7">
        <v>24002331</v>
      </c>
      <c r="D6" s="7">
        <v>1</v>
      </c>
      <c r="E6" s="8" t="s">
        <v>164</v>
      </c>
      <c r="F6" s="7" t="s">
        <v>157</v>
      </c>
      <c r="G6" s="9">
        <v>1.78</v>
      </c>
      <c r="H6" s="9">
        <v>620</v>
      </c>
      <c r="I6" s="7" t="s">
        <v>220</v>
      </c>
      <c r="J6" s="7" t="s">
        <v>58</v>
      </c>
      <c r="K6" s="10">
        <v>45492</v>
      </c>
      <c r="M6" s="24">
        <f t="shared" si="0"/>
        <v>1103.5999999999999</v>
      </c>
      <c r="N6" s="25">
        <f t="shared" si="1"/>
        <v>28252159.999999996</v>
      </c>
      <c r="P6" s="26"/>
      <c r="Q6" s="26"/>
      <c r="R6" s="26"/>
    </row>
    <row r="7" spans="1:18" x14ac:dyDescent="0.2">
      <c r="A7" s="7" t="s">
        <v>176</v>
      </c>
      <c r="B7" s="7" t="s">
        <v>50</v>
      </c>
      <c r="C7" s="7">
        <v>23002617</v>
      </c>
      <c r="D7" s="7">
        <v>6</v>
      </c>
      <c r="E7" s="8" t="s">
        <v>221</v>
      </c>
      <c r="F7" s="7" t="s">
        <v>27</v>
      </c>
      <c r="G7" s="9">
        <v>1.47</v>
      </c>
      <c r="H7" s="9">
        <v>257.3</v>
      </c>
      <c r="I7" s="7" t="s">
        <v>220</v>
      </c>
      <c r="J7" s="7" t="s">
        <v>211</v>
      </c>
      <c r="K7" s="10">
        <v>45231</v>
      </c>
      <c r="M7" s="24">
        <f t="shared" si="0"/>
        <v>378.23099999999999</v>
      </c>
      <c r="N7" s="25">
        <f t="shared" si="1"/>
        <v>9682713.5999999996</v>
      </c>
      <c r="P7" s="26"/>
      <c r="Q7" s="26"/>
      <c r="R7" s="26"/>
    </row>
    <row r="8" spans="1:18" x14ac:dyDescent="0.2">
      <c r="A8" s="7" t="s">
        <v>176</v>
      </c>
      <c r="B8" s="7" t="s">
        <v>50</v>
      </c>
      <c r="C8" s="7">
        <v>24001384</v>
      </c>
      <c r="D8" s="7">
        <v>2</v>
      </c>
      <c r="E8" s="8" t="s">
        <v>151</v>
      </c>
      <c r="F8" s="7" t="s">
        <v>108</v>
      </c>
      <c r="G8" s="9">
        <v>2.17</v>
      </c>
      <c r="H8" s="9">
        <v>2500</v>
      </c>
      <c r="I8" s="7" t="s">
        <v>220</v>
      </c>
      <c r="J8" s="7" t="s">
        <v>264</v>
      </c>
      <c r="K8" s="10">
        <v>45425</v>
      </c>
      <c r="M8" s="24">
        <f t="shared" si="0"/>
        <v>5425</v>
      </c>
      <c r="N8" s="25">
        <f t="shared" si="1"/>
        <v>138880000</v>
      </c>
      <c r="P8" s="26"/>
      <c r="Q8" s="26"/>
      <c r="R8" s="26"/>
    </row>
    <row r="9" spans="1:18" x14ac:dyDescent="0.2">
      <c r="A9" s="7" t="s">
        <v>176</v>
      </c>
      <c r="B9" s="7" t="s">
        <v>50</v>
      </c>
      <c r="C9" s="7">
        <v>24000900</v>
      </c>
      <c r="D9" s="7">
        <v>1</v>
      </c>
      <c r="E9" s="8" t="s">
        <v>227</v>
      </c>
      <c r="F9" s="7" t="s">
        <v>136</v>
      </c>
      <c r="G9" s="9">
        <v>1.81</v>
      </c>
      <c r="H9" s="9">
        <v>298.7</v>
      </c>
      <c r="I9" s="7" t="s">
        <v>220</v>
      </c>
      <c r="J9" s="7" t="s">
        <v>55</v>
      </c>
      <c r="K9" s="10">
        <v>45338</v>
      </c>
      <c r="M9" s="24">
        <f t="shared" si="0"/>
        <v>540.64700000000005</v>
      </c>
      <c r="N9" s="25">
        <f t="shared" si="1"/>
        <v>13840563.200000001</v>
      </c>
      <c r="P9" s="26"/>
      <c r="Q9" s="26"/>
      <c r="R9" s="26"/>
    </row>
    <row r="10" spans="1:18" x14ac:dyDescent="0.2">
      <c r="A10" s="7" t="s">
        <v>176</v>
      </c>
      <c r="B10" s="7" t="s">
        <v>50</v>
      </c>
      <c r="C10" s="7">
        <v>24001384</v>
      </c>
      <c r="D10" s="7">
        <v>3</v>
      </c>
      <c r="E10" s="8" t="s">
        <v>11</v>
      </c>
      <c r="F10" s="7" t="s">
        <v>270</v>
      </c>
      <c r="G10" s="9">
        <v>2.46</v>
      </c>
      <c r="H10" s="9">
        <v>700</v>
      </c>
      <c r="I10" s="7" t="s">
        <v>220</v>
      </c>
      <c r="J10" s="7" t="s">
        <v>279</v>
      </c>
      <c r="K10" s="10">
        <v>45425</v>
      </c>
      <c r="M10" s="24">
        <f t="shared" si="0"/>
        <v>1722</v>
      </c>
      <c r="N10" s="25">
        <f t="shared" si="1"/>
        <v>44083200</v>
      </c>
      <c r="P10" s="26"/>
      <c r="Q10" s="26"/>
      <c r="R10" s="26"/>
    </row>
    <row r="11" spans="1:18" x14ac:dyDescent="0.2">
      <c r="A11" s="7" t="s">
        <v>176</v>
      </c>
      <c r="B11" s="7" t="s">
        <v>50</v>
      </c>
      <c r="C11" s="7">
        <v>23000316</v>
      </c>
      <c r="D11" s="7">
        <v>2</v>
      </c>
      <c r="E11" s="8" t="s">
        <v>231</v>
      </c>
      <c r="F11" s="7" t="s">
        <v>69</v>
      </c>
      <c r="G11" s="9">
        <v>2.09</v>
      </c>
      <c r="H11" s="9">
        <v>442.8</v>
      </c>
      <c r="I11" s="7" t="s">
        <v>220</v>
      </c>
      <c r="J11" s="7" t="s">
        <v>278</v>
      </c>
      <c r="K11" s="10">
        <v>44979</v>
      </c>
      <c r="M11" s="24">
        <f t="shared" si="0"/>
        <v>925.452</v>
      </c>
      <c r="N11" s="25">
        <f t="shared" si="1"/>
        <v>23691571.199999999</v>
      </c>
      <c r="P11" s="26"/>
      <c r="Q11" s="26"/>
      <c r="R11" s="26"/>
    </row>
    <row r="12" spans="1:18" x14ac:dyDescent="0.2">
      <c r="A12" s="7" t="s">
        <v>176</v>
      </c>
      <c r="B12" s="7" t="s">
        <v>50</v>
      </c>
      <c r="C12" s="7">
        <v>24000445</v>
      </c>
      <c r="D12" s="7">
        <v>4</v>
      </c>
      <c r="E12" s="8" t="s">
        <v>5</v>
      </c>
      <c r="F12" s="7" t="s">
        <v>282</v>
      </c>
      <c r="G12" s="9">
        <v>5.62</v>
      </c>
      <c r="H12" s="9">
        <v>61.3</v>
      </c>
      <c r="I12" s="7" t="s">
        <v>220</v>
      </c>
      <c r="J12" s="7" t="s">
        <v>76</v>
      </c>
      <c r="K12" s="10">
        <v>45344</v>
      </c>
      <c r="M12" s="24">
        <f t="shared" si="0"/>
        <v>344.50599999999997</v>
      </c>
      <c r="N12" s="25">
        <f t="shared" si="1"/>
        <v>8819353.5999999996</v>
      </c>
      <c r="P12" s="26"/>
      <c r="Q12" s="26"/>
      <c r="R12" s="26"/>
    </row>
    <row r="13" spans="1:18" x14ac:dyDescent="0.2">
      <c r="A13" s="7" t="s">
        <v>176</v>
      </c>
      <c r="B13" s="7" t="s">
        <v>50</v>
      </c>
      <c r="C13" s="7">
        <v>23000316</v>
      </c>
      <c r="D13" s="7">
        <v>7</v>
      </c>
      <c r="E13" s="8" t="s">
        <v>44</v>
      </c>
      <c r="F13" s="7" t="s">
        <v>96</v>
      </c>
      <c r="G13" s="9">
        <v>3.34</v>
      </c>
      <c r="H13" s="9">
        <v>213.9</v>
      </c>
      <c r="I13" s="7" t="s">
        <v>220</v>
      </c>
      <c r="J13" s="7" t="s">
        <v>278</v>
      </c>
      <c r="K13" s="10">
        <v>44979</v>
      </c>
      <c r="M13" s="24">
        <f t="shared" si="0"/>
        <v>714.42600000000004</v>
      </c>
      <c r="N13" s="25">
        <f t="shared" si="1"/>
        <v>18289305.600000001</v>
      </c>
      <c r="P13" s="26"/>
      <c r="Q13" s="26"/>
      <c r="R13" s="26"/>
    </row>
    <row r="14" spans="1:18" x14ac:dyDescent="0.2">
      <c r="A14" s="7" t="s">
        <v>176</v>
      </c>
      <c r="B14" s="7" t="s">
        <v>50</v>
      </c>
      <c r="C14" s="7">
        <v>24001384</v>
      </c>
      <c r="D14" s="7">
        <v>4</v>
      </c>
      <c r="E14" s="8" t="s">
        <v>30</v>
      </c>
      <c r="F14" s="7" t="s">
        <v>115</v>
      </c>
      <c r="G14" s="9">
        <v>3.73</v>
      </c>
      <c r="H14" s="9">
        <v>1500</v>
      </c>
      <c r="I14" s="7" t="s">
        <v>220</v>
      </c>
      <c r="J14" s="7" t="s">
        <v>210</v>
      </c>
      <c r="K14" s="10">
        <v>45425</v>
      </c>
      <c r="M14" s="24">
        <f t="shared" si="0"/>
        <v>5595</v>
      </c>
      <c r="N14" s="25">
        <f t="shared" si="1"/>
        <v>143232000</v>
      </c>
      <c r="P14" s="26"/>
      <c r="Q14" s="26"/>
      <c r="R14" s="26"/>
    </row>
    <row r="15" spans="1:18" x14ac:dyDescent="0.2">
      <c r="A15" s="7" t="s">
        <v>176</v>
      </c>
      <c r="B15" s="7" t="s">
        <v>50</v>
      </c>
      <c r="C15" s="7">
        <v>23002617</v>
      </c>
      <c r="D15" s="7">
        <v>7</v>
      </c>
      <c r="E15" s="8" t="s">
        <v>124</v>
      </c>
      <c r="F15" s="7" t="s">
        <v>24</v>
      </c>
      <c r="G15" s="9">
        <v>7.76</v>
      </c>
      <c r="H15" s="9">
        <v>121.5</v>
      </c>
      <c r="I15" s="7" t="s">
        <v>220</v>
      </c>
      <c r="J15" s="7" t="s">
        <v>91</v>
      </c>
      <c r="K15" s="10">
        <v>45231</v>
      </c>
      <c r="M15" s="24">
        <f t="shared" si="0"/>
        <v>942.83999999999992</v>
      </c>
      <c r="N15" s="25">
        <f t="shared" si="1"/>
        <v>24136703.999999996</v>
      </c>
      <c r="P15" s="26"/>
      <c r="Q15" s="26"/>
      <c r="R15" s="26"/>
    </row>
    <row r="16" spans="1:18" x14ac:dyDescent="0.2">
      <c r="A16" s="7" t="s">
        <v>176</v>
      </c>
      <c r="B16" s="7" t="s">
        <v>50</v>
      </c>
      <c r="C16" s="7">
        <v>24001384</v>
      </c>
      <c r="D16" s="7">
        <v>7</v>
      </c>
      <c r="E16" s="8" t="s">
        <v>183</v>
      </c>
      <c r="F16" s="7" t="s">
        <v>13</v>
      </c>
      <c r="G16" s="9">
        <v>7.6</v>
      </c>
      <c r="H16" s="9">
        <v>300</v>
      </c>
      <c r="I16" s="7" t="s">
        <v>220</v>
      </c>
      <c r="J16" s="7" t="s">
        <v>180</v>
      </c>
      <c r="K16" s="10">
        <v>45425</v>
      </c>
      <c r="M16" s="24">
        <f t="shared" si="0"/>
        <v>2280</v>
      </c>
      <c r="N16" s="25">
        <f t="shared" si="1"/>
        <v>58368000</v>
      </c>
      <c r="P16" s="26"/>
      <c r="Q16" s="26"/>
      <c r="R16" s="26"/>
    </row>
    <row r="17" spans="1:18" x14ac:dyDescent="0.2">
      <c r="A17" s="7" t="s">
        <v>176</v>
      </c>
      <c r="B17" s="7" t="s">
        <v>50</v>
      </c>
      <c r="C17" s="7">
        <v>23000316</v>
      </c>
      <c r="D17" s="7">
        <v>10</v>
      </c>
      <c r="E17" s="8" t="s">
        <v>141</v>
      </c>
      <c r="F17" s="7" t="s">
        <v>4</v>
      </c>
      <c r="G17" s="9">
        <v>5.3</v>
      </c>
      <c r="H17" s="9">
        <v>224.6</v>
      </c>
      <c r="I17" s="7" t="s">
        <v>220</v>
      </c>
      <c r="J17" s="7" t="s">
        <v>278</v>
      </c>
      <c r="K17" s="10">
        <v>44979</v>
      </c>
      <c r="M17" s="24">
        <f t="shared" si="0"/>
        <v>1190.3799999999999</v>
      </c>
      <c r="N17" s="25">
        <f t="shared" si="1"/>
        <v>30473727.999999996</v>
      </c>
      <c r="P17" s="26"/>
      <c r="Q17" s="26"/>
      <c r="R17" s="26"/>
    </row>
    <row r="18" spans="1:18" x14ac:dyDescent="0.2">
      <c r="A18" s="7" t="s">
        <v>176</v>
      </c>
      <c r="B18" s="7" t="s">
        <v>50</v>
      </c>
      <c r="C18" s="7">
        <v>24000445</v>
      </c>
      <c r="D18" s="7">
        <v>2</v>
      </c>
      <c r="E18" s="8" t="s">
        <v>207</v>
      </c>
      <c r="F18" s="7" t="s">
        <v>119</v>
      </c>
      <c r="G18" s="9">
        <v>9.77</v>
      </c>
      <c r="H18" s="9">
        <v>484.4</v>
      </c>
      <c r="I18" s="7" t="s">
        <v>220</v>
      </c>
      <c r="J18" s="7" t="s">
        <v>129</v>
      </c>
      <c r="K18" s="10">
        <v>45344</v>
      </c>
      <c r="M18" s="24">
        <f t="shared" si="0"/>
        <v>4732.5879999999997</v>
      </c>
      <c r="N18" s="25">
        <f t="shared" si="1"/>
        <v>121154252.8</v>
      </c>
      <c r="P18" s="26"/>
      <c r="Q18" s="26"/>
      <c r="R18" s="26"/>
    </row>
    <row r="19" spans="1:18" x14ac:dyDescent="0.2">
      <c r="A19" s="7" t="s">
        <v>176</v>
      </c>
      <c r="B19" s="7" t="s">
        <v>50</v>
      </c>
      <c r="C19" s="7">
        <v>24001384</v>
      </c>
      <c r="D19" s="7">
        <v>5</v>
      </c>
      <c r="E19" s="8" t="s">
        <v>153</v>
      </c>
      <c r="F19" s="7" t="s">
        <v>104</v>
      </c>
      <c r="G19" s="9">
        <v>8.64</v>
      </c>
      <c r="H19" s="9">
        <v>400</v>
      </c>
      <c r="I19" s="7" t="s">
        <v>220</v>
      </c>
      <c r="J19" s="7" t="s">
        <v>228</v>
      </c>
      <c r="K19" s="10">
        <v>45425</v>
      </c>
      <c r="M19" s="24">
        <f t="shared" si="0"/>
        <v>3456</v>
      </c>
      <c r="N19" s="25">
        <f t="shared" si="1"/>
        <v>88473600</v>
      </c>
      <c r="P19" s="26"/>
      <c r="Q19" s="26"/>
      <c r="R19" s="26"/>
    </row>
    <row r="20" spans="1:18" x14ac:dyDescent="0.2">
      <c r="A20" s="7" t="s">
        <v>176</v>
      </c>
      <c r="B20" s="7" t="s">
        <v>50</v>
      </c>
      <c r="C20" s="7">
        <v>23000316</v>
      </c>
      <c r="D20" s="7">
        <v>12</v>
      </c>
      <c r="E20" s="8" t="s">
        <v>0</v>
      </c>
      <c r="F20" s="7" t="s">
        <v>14</v>
      </c>
      <c r="G20" s="9">
        <v>8.09</v>
      </c>
      <c r="H20" s="9">
        <v>123.1</v>
      </c>
      <c r="I20" s="7" t="s">
        <v>220</v>
      </c>
      <c r="J20" s="7" t="s">
        <v>278</v>
      </c>
      <c r="K20" s="10">
        <v>44979</v>
      </c>
      <c r="M20" s="24">
        <f t="shared" si="0"/>
        <v>995.87899999999991</v>
      </c>
      <c r="N20" s="25">
        <f t="shared" si="1"/>
        <v>25494502.399999999</v>
      </c>
      <c r="P20" s="26"/>
      <c r="Q20" s="26"/>
      <c r="R20" s="26"/>
    </row>
    <row r="21" spans="1:18" x14ac:dyDescent="0.2">
      <c r="A21" s="7" t="s">
        <v>176</v>
      </c>
      <c r="B21" s="7" t="s">
        <v>50</v>
      </c>
      <c r="C21" s="7">
        <v>24001384</v>
      </c>
      <c r="D21" s="7">
        <v>6</v>
      </c>
      <c r="E21" s="8" t="s">
        <v>155</v>
      </c>
      <c r="F21" s="7" t="s">
        <v>241</v>
      </c>
      <c r="G21" s="9">
        <v>9.75</v>
      </c>
      <c r="H21" s="9">
        <v>200</v>
      </c>
      <c r="I21" s="7" t="s">
        <v>220</v>
      </c>
      <c r="J21" s="7" t="s">
        <v>70</v>
      </c>
      <c r="K21" s="10">
        <v>45425</v>
      </c>
      <c r="M21" s="24">
        <f t="shared" si="0"/>
        <v>1950</v>
      </c>
      <c r="N21" s="25">
        <f t="shared" si="1"/>
        <v>49920000</v>
      </c>
      <c r="P21" s="26"/>
      <c r="Q21" s="26"/>
      <c r="R21" s="26"/>
    </row>
    <row r="22" spans="1:18" x14ac:dyDescent="0.2">
      <c r="A22" s="7" t="s">
        <v>176</v>
      </c>
      <c r="B22" s="7" t="s">
        <v>50</v>
      </c>
      <c r="C22" s="7">
        <v>24000445</v>
      </c>
      <c r="D22" s="7">
        <v>1</v>
      </c>
      <c r="E22" s="8" t="s">
        <v>106</v>
      </c>
      <c r="F22" s="7" t="s">
        <v>197</v>
      </c>
      <c r="G22" s="9">
        <v>8.64</v>
      </c>
      <c r="H22" s="9">
        <v>60.8</v>
      </c>
      <c r="I22" s="7" t="s">
        <v>220</v>
      </c>
      <c r="J22" s="7" t="s">
        <v>20</v>
      </c>
      <c r="K22" s="10">
        <v>45344</v>
      </c>
      <c r="M22" s="24">
        <f t="shared" si="0"/>
        <v>525.31200000000001</v>
      </c>
      <c r="N22" s="25">
        <f t="shared" si="1"/>
        <v>13447987.200000001</v>
      </c>
      <c r="P22" s="26"/>
      <c r="Q22" s="26"/>
      <c r="R22" s="26"/>
    </row>
    <row r="23" spans="1:18" x14ac:dyDescent="0.2">
      <c r="A23" s="7" t="s">
        <v>29</v>
      </c>
      <c r="B23" s="7" t="s">
        <v>48</v>
      </c>
      <c r="C23" s="7">
        <v>23002601</v>
      </c>
      <c r="D23" s="7">
        <v>9</v>
      </c>
      <c r="E23" s="8" t="s">
        <v>259</v>
      </c>
      <c r="F23" s="7" t="s">
        <v>165</v>
      </c>
      <c r="G23" s="9">
        <v>0.95</v>
      </c>
      <c r="H23" s="9">
        <v>150</v>
      </c>
      <c r="I23" s="7" t="s">
        <v>222</v>
      </c>
      <c r="J23" s="7" t="s">
        <v>16</v>
      </c>
      <c r="K23" s="10">
        <v>45231</v>
      </c>
      <c r="M23" s="24">
        <f t="shared" si="0"/>
        <v>142.5</v>
      </c>
      <c r="N23" s="25">
        <f t="shared" si="1"/>
        <v>3648000</v>
      </c>
      <c r="P23" s="26"/>
      <c r="Q23" s="26"/>
      <c r="R23" s="26"/>
    </row>
    <row r="24" spans="1:18" x14ac:dyDescent="0.2">
      <c r="A24" s="7" t="s">
        <v>29</v>
      </c>
      <c r="B24" s="7" t="s">
        <v>48</v>
      </c>
      <c r="C24" s="7">
        <v>23002601</v>
      </c>
      <c r="D24" s="7">
        <v>7</v>
      </c>
      <c r="E24" s="8" t="s">
        <v>158</v>
      </c>
      <c r="F24" s="7" t="s">
        <v>165</v>
      </c>
      <c r="G24" s="9">
        <v>1.26</v>
      </c>
      <c r="H24" s="9">
        <v>110</v>
      </c>
      <c r="I24" s="7" t="s">
        <v>222</v>
      </c>
      <c r="J24" s="7" t="s">
        <v>160</v>
      </c>
      <c r="K24" s="10">
        <v>45231</v>
      </c>
      <c r="M24" s="24">
        <f t="shared" si="0"/>
        <v>138.6</v>
      </c>
      <c r="N24" s="25">
        <f t="shared" si="1"/>
        <v>3548160</v>
      </c>
      <c r="P24" s="26"/>
      <c r="Q24" s="26"/>
      <c r="R24" s="26"/>
    </row>
    <row r="25" spans="1:18" x14ac:dyDescent="0.2">
      <c r="A25" s="7" t="s">
        <v>29</v>
      </c>
      <c r="B25" s="7" t="s">
        <v>48</v>
      </c>
      <c r="C25" s="7">
        <v>24000440</v>
      </c>
      <c r="D25" s="7">
        <v>9</v>
      </c>
      <c r="E25" s="8" t="s">
        <v>38</v>
      </c>
      <c r="F25" s="7" t="s">
        <v>219</v>
      </c>
      <c r="G25" s="9">
        <v>1.35</v>
      </c>
      <c r="H25" s="9">
        <v>90</v>
      </c>
      <c r="I25" s="7" t="s">
        <v>222</v>
      </c>
      <c r="J25" s="7" t="s">
        <v>195</v>
      </c>
      <c r="K25" s="10">
        <v>45344</v>
      </c>
      <c r="M25" s="24">
        <f t="shared" si="0"/>
        <v>121.50000000000001</v>
      </c>
      <c r="N25" s="25">
        <f t="shared" si="1"/>
        <v>3110400.0000000005</v>
      </c>
      <c r="P25" s="26"/>
      <c r="Q25" s="26"/>
      <c r="R25" s="26"/>
    </row>
    <row r="26" spans="1:18" x14ac:dyDescent="0.2">
      <c r="A26" s="7" t="s">
        <v>29</v>
      </c>
      <c r="B26" s="7" t="s">
        <v>48</v>
      </c>
      <c r="C26" s="7">
        <v>24001088</v>
      </c>
      <c r="D26" s="7">
        <v>1</v>
      </c>
      <c r="E26" s="8" t="s">
        <v>89</v>
      </c>
      <c r="F26" s="7" t="s">
        <v>26</v>
      </c>
      <c r="G26" s="9">
        <v>2.2000000000000002</v>
      </c>
      <c r="H26" s="9">
        <v>80</v>
      </c>
      <c r="I26" s="7" t="s">
        <v>222</v>
      </c>
      <c r="J26" s="7" t="s">
        <v>88</v>
      </c>
      <c r="K26" s="10">
        <v>45399</v>
      </c>
      <c r="M26" s="24">
        <f t="shared" si="0"/>
        <v>176</v>
      </c>
      <c r="N26" s="25">
        <f t="shared" si="1"/>
        <v>4505600</v>
      </c>
      <c r="P26" s="26"/>
      <c r="Q26" s="26"/>
      <c r="R26" s="26"/>
    </row>
    <row r="27" spans="1:18" x14ac:dyDescent="0.2">
      <c r="A27" s="7" t="s">
        <v>29</v>
      </c>
      <c r="B27" s="7" t="s">
        <v>48</v>
      </c>
      <c r="C27" s="7">
        <v>24001877</v>
      </c>
      <c r="D27" s="7">
        <v>1</v>
      </c>
      <c r="E27" s="8" t="s">
        <v>37</v>
      </c>
      <c r="F27" s="7" t="s">
        <v>122</v>
      </c>
      <c r="G27" s="9">
        <v>0.8</v>
      </c>
      <c r="H27" s="9">
        <v>560</v>
      </c>
      <c r="I27" s="7" t="s">
        <v>222</v>
      </c>
      <c r="J27" s="7" t="s">
        <v>196</v>
      </c>
      <c r="K27" s="10">
        <v>45457</v>
      </c>
      <c r="M27" s="24">
        <f t="shared" si="0"/>
        <v>448</v>
      </c>
      <c r="N27" s="25">
        <f t="shared" si="1"/>
        <v>11468800</v>
      </c>
      <c r="P27" s="26"/>
      <c r="Q27" s="26"/>
      <c r="R27" s="26"/>
    </row>
    <row r="28" spans="1:18" x14ac:dyDescent="0.2">
      <c r="A28" s="7" t="s">
        <v>29</v>
      </c>
      <c r="B28" s="7" t="s">
        <v>48</v>
      </c>
      <c r="C28" s="7">
        <v>23000378</v>
      </c>
      <c r="D28" s="7">
        <v>40</v>
      </c>
      <c r="E28" s="8" t="s">
        <v>2</v>
      </c>
      <c r="F28" s="7" t="s">
        <v>75</v>
      </c>
      <c r="G28" s="9">
        <v>1.61</v>
      </c>
      <c r="H28" s="9">
        <v>270</v>
      </c>
      <c r="I28" s="7" t="s">
        <v>222</v>
      </c>
      <c r="J28" s="7" t="s">
        <v>73</v>
      </c>
      <c r="K28" s="10">
        <v>44985</v>
      </c>
      <c r="M28" s="24">
        <f t="shared" si="0"/>
        <v>434.70000000000005</v>
      </c>
      <c r="N28" s="25">
        <f t="shared" si="1"/>
        <v>11128320.000000002</v>
      </c>
      <c r="P28" s="26"/>
      <c r="Q28" s="26"/>
      <c r="R28" s="26"/>
    </row>
    <row r="29" spans="1:18" x14ac:dyDescent="0.2">
      <c r="A29" s="7" t="s">
        <v>29</v>
      </c>
      <c r="B29" s="7" t="s">
        <v>48</v>
      </c>
      <c r="C29" s="7">
        <v>24002125</v>
      </c>
      <c r="D29" s="7">
        <v>1</v>
      </c>
      <c r="E29" s="8" t="s">
        <v>266</v>
      </c>
      <c r="F29" s="7" t="s">
        <v>131</v>
      </c>
      <c r="G29" s="9">
        <v>0.91</v>
      </c>
      <c r="H29" s="9">
        <v>400</v>
      </c>
      <c r="I29" s="7" t="s">
        <v>222</v>
      </c>
      <c r="J29" s="7" t="s">
        <v>57</v>
      </c>
      <c r="K29" s="10">
        <v>45476</v>
      </c>
      <c r="M29" s="24">
        <f t="shared" si="0"/>
        <v>364</v>
      </c>
      <c r="N29" s="25">
        <f t="shared" si="1"/>
        <v>9318400</v>
      </c>
      <c r="P29" s="26"/>
      <c r="Q29" s="26"/>
      <c r="R29" s="26"/>
    </row>
    <row r="30" spans="1:18" x14ac:dyDescent="0.2">
      <c r="A30" s="7" t="s">
        <v>29</v>
      </c>
      <c r="B30" s="7" t="s">
        <v>48</v>
      </c>
      <c r="C30" s="7">
        <v>24002125</v>
      </c>
      <c r="D30" s="7">
        <v>2</v>
      </c>
      <c r="E30" s="8" t="s">
        <v>111</v>
      </c>
      <c r="F30" s="7" t="s">
        <v>273</v>
      </c>
      <c r="G30" s="9">
        <v>1.58</v>
      </c>
      <c r="H30" s="9">
        <v>200</v>
      </c>
      <c r="I30" s="7" t="s">
        <v>222</v>
      </c>
      <c r="J30" s="7" t="s">
        <v>214</v>
      </c>
      <c r="K30" s="10">
        <v>45476</v>
      </c>
      <c r="M30" s="24">
        <f t="shared" si="0"/>
        <v>316</v>
      </c>
      <c r="N30" s="25">
        <f t="shared" si="1"/>
        <v>8089600</v>
      </c>
      <c r="P30" s="26"/>
      <c r="Q30" s="26"/>
      <c r="R30" s="26"/>
    </row>
    <row r="31" spans="1:18" x14ac:dyDescent="0.2">
      <c r="A31" s="7" t="s">
        <v>29</v>
      </c>
      <c r="B31" s="7" t="s">
        <v>48</v>
      </c>
      <c r="C31" s="7">
        <v>24002125</v>
      </c>
      <c r="D31" s="7">
        <v>3</v>
      </c>
      <c r="E31" s="8" t="s">
        <v>234</v>
      </c>
      <c r="F31" s="7" t="s">
        <v>110</v>
      </c>
      <c r="G31" s="9">
        <v>2.0699999999999998</v>
      </c>
      <c r="H31" s="9">
        <v>100</v>
      </c>
      <c r="I31" s="7" t="s">
        <v>222</v>
      </c>
      <c r="J31" s="7" t="s">
        <v>34</v>
      </c>
      <c r="K31" s="10">
        <v>45476</v>
      </c>
      <c r="M31" s="24">
        <f t="shared" si="0"/>
        <v>206.99999999999997</v>
      </c>
      <c r="N31" s="25">
        <f t="shared" si="1"/>
        <v>5299199.9999999991</v>
      </c>
      <c r="P31" s="26"/>
      <c r="Q31" s="26"/>
      <c r="R31" s="26"/>
    </row>
    <row r="32" spans="1:18" x14ac:dyDescent="0.2">
      <c r="A32" s="7" t="s">
        <v>29</v>
      </c>
      <c r="B32" s="7" t="s">
        <v>48</v>
      </c>
      <c r="C32" s="7">
        <v>24001405</v>
      </c>
      <c r="D32" s="7">
        <v>4</v>
      </c>
      <c r="E32" s="8" t="s">
        <v>31</v>
      </c>
      <c r="F32" s="7" t="s">
        <v>23</v>
      </c>
      <c r="G32" s="9">
        <v>0.73</v>
      </c>
      <c r="H32" s="9">
        <v>6300</v>
      </c>
      <c r="I32" s="7" t="s">
        <v>222</v>
      </c>
      <c r="J32" s="7" t="s">
        <v>190</v>
      </c>
      <c r="K32" s="10">
        <v>45426</v>
      </c>
      <c r="M32" s="24">
        <f t="shared" si="0"/>
        <v>4599</v>
      </c>
      <c r="N32" s="25">
        <f t="shared" si="1"/>
        <v>117734400</v>
      </c>
      <c r="P32" s="26"/>
      <c r="Q32" s="26"/>
      <c r="R32" s="26"/>
    </row>
    <row r="33" spans="1:18" x14ac:dyDescent="0.2">
      <c r="A33" s="7" t="s">
        <v>29</v>
      </c>
      <c r="B33" s="7" t="s">
        <v>48</v>
      </c>
      <c r="C33" s="7">
        <v>23000378</v>
      </c>
      <c r="D33" s="7">
        <v>6</v>
      </c>
      <c r="E33" s="8" t="s">
        <v>1</v>
      </c>
      <c r="F33" s="7" t="s">
        <v>102</v>
      </c>
      <c r="G33" s="9">
        <v>1.04</v>
      </c>
      <c r="H33" s="9">
        <v>300</v>
      </c>
      <c r="I33" s="7" t="s">
        <v>222</v>
      </c>
      <c r="J33" s="7" t="s">
        <v>17</v>
      </c>
      <c r="K33" s="10">
        <v>44985</v>
      </c>
      <c r="M33" s="24">
        <f t="shared" si="0"/>
        <v>312</v>
      </c>
      <c r="N33" s="25">
        <f t="shared" si="1"/>
        <v>7987200</v>
      </c>
      <c r="P33" s="26"/>
      <c r="Q33" s="26"/>
      <c r="R33" s="26"/>
    </row>
    <row r="34" spans="1:18" x14ac:dyDescent="0.2">
      <c r="A34" s="7" t="s">
        <v>29</v>
      </c>
      <c r="B34" s="7" t="s">
        <v>48</v>
      </c>
      <c r="C34" s="7">
        <v>23000378</v>
      </c>
      <c r="D34" s="7">
        <v>28</v>
      </c>
      <c r="E34" s="8" t="s">
        <v>238</v>
      </c>
      <c r="F34" s="7" t="s">
        <v>78</v>
      </c>
      <c r="G34" s="9">
        <v>1.59</v>
      </c>
      <c r="H34" s="9">
        <v>320</v>
      </c>
      <c r="I34" s="7" t="s">
        <v>222</v>
      </c>
      <c r="J34" s="7" t="s">
        <v>286</v>
      </c>
      <c r="K34" s="10">
        <v>44985</v>
      </c>
      <c r="M34" s="24">
        <f t="shared" si="0"/>
        <v>508.8</v>
      </c>
      <c r="N34" s="25">
        <f t="shared" si="1"/>
        <v>13025280</v>
      </c>
      <c r="P34" s="26"/>
      <c r="Q34" s="26"/>
      <c r="R34" s="26"/>
    </row>
    <row r="35" spans="1:18" x14ac:dyDescent="0.2">
      <c r="A35" s="7" t="s">
        <v>29</v>
      </c>
      <c r="B35" s="7" t="s">
        <v>48</v>
      </c>
      <c r="C35" s="7">
        <v>24002081</v>
      </c>
      <c r="D35" s="7">
        <v>2</v>
      </c>
      <c r="E35" s="8" t="s">
        <v>12</v>
      </c>
      <c r="F35" s="7" t="s">
        <v>116</v>
      </c>
      <c r="G35" s="9">
        <v>1.19</v>
      </c>
      <c r="H35" s="9">
        <v>300</v>
      </c>
      <c r="I35" s="7" t="s">
        <v>222</v>
      </c>
      <c r="J35" s="7" t="s">
        <v>185</v>
      </c>
      <c r="K35" s="10">
        <v>45471</v>
      </c>
      <c r="M35" s="24">
        <f t="shared" si="0"/>
        <v>357</v>
      </c>
      <c r="N35" s="25">
        <f t="shared" si="1"/>
        <v>9139200</v>
      </c>
      <c r="P35" s="26"/>
      <c r="Q35" s="26"/>
      <c r="R35" s="26"/>
    </row>
    <row r="36" spans="1:18" x14ac:dyDescent="0.2">
      <c r="A36" s="7" t="s">
        <v>29</v>
      </c>
      <c r="B36" s="7" t="s">
        <v>48</v>
      </c>
      <c r="C36" s="7">
        <v>23000378</v>
      </c>
      <c r="D36" s="7">
        <v>7</v>
      </c>
      <c r="E36" s="8" t="s">
        <v>194</v>
      </c>
      <c r="F36" s="7" t="s">
        <v>232</v>
      </c>
      <c r="G36" s="9">
        <v>1.68</v>
      </c>
      <c r="H36" s="9">
        <v>315</v>
      </c>
      <c r="I36" s="7" t="s">
        <v>222</v>
      </c>
      <c r="J36" s="7" t="s">
        <v>263</v>
      </c>
      <c r="K36" s="10">
        <v>44985</v>
      </c>
      <c r="M36" s="24">
        <f t="shared" si="0"/>
        <v>529.19999999999993</v>
      </c>
      <c r="N36" s="25">
        <f t="shared" si="1"/>
        <v>13547519.999999998</v>
      </c>
      <c r="P36" s="26"/>
      <c r="Q36" s="26"/>
      <c r="R36" s="26"/>
    </row>
    <row r="37" spans="1:18" x14ac:dyDescent="0.2">
      <c r="A37" s="7" t="s">
        <v>29</v>
      </c>
      <c r="B37" s="7" t="s">
        <v>48</v>
      </c>
      <c r="C37" s="7">
        <v>24002556</v>
      </c>
      <c r="D37" s="7">
        <v>1</v>
      </c>
      <c r="E37" s="8" t="s">
        <v>237</v>
      </c>
      <c r="F37" s="7" t="s">
        <v>71</v>
      </c>
      <c r="G37" s="9">
        <v>1.68</v>
      </c>
      <c r="H37" s="9">
        <v>225</v>
      </c>
      <c r="I37" s="7" t="s">
        <v>222</v>
      </c>
      <c r="J37" s="7" t="s">
        <v>263</v>
      </c>
      <c r="K37" s="10">
        <v>45504</v>
      </c>
      <c r="M37" s="24">
        <f t="shared" si="0"/>
        <v>378</v>
      </c>
      <c r="N37" s="25">
        <f t="shared" si="1"/>
        <v>9676800</v>
      </c>
      <c r="P37" s="26"/>
      <c r="Q37" s="26"/>
      <c r="R37" s="26"/>
    </row>
    <row r="38" spans="1:18" x14ac:dyDescent="0.2">
      <c r="A38" s="7" t="s">
        <v>29</v>
      </c>
      <c r="B38" s="7" t="s">
        <v>48</v>
      </c>
      <c r="C38" s="7">
        <v>23000378</v>
      </c>
      <c r="D38" s="7">
        <v>8</v>
      </c>
      <c r="E38" s="8" t="s">
        <v>206</v>
      </c>
      <c r="F38" s="7" t="s">
        <v>105</v>
      </c>
      <c r="G38" s="9">
        <v>1.7</v>
      </c>
      <c r="H38" s="9">
        <v>315</v>
      </c>
      <c r="I38" s="7" t="s">
        <v>222</v>
      </c>
      <c r="J38" s="7" t="s">
        <v>189</v>
      </c>
      <c r="K38" s="10">
        <v>44985</v>
      </c>
      <c r="M38" s="24">
        <f t="shared" si="0"/>
        <v>535.5</v>
      </c>
      <c r="N38" s="25">
        <f t="shared" si="1"/>
        <v>13708800</v>
      </c>
      <c r="P38" s="26"/>
      <c r="Q38" s="26"/>
      <c r="R38" s="26"/>
    </row>
    <row r="39" spans="1:18" x14ac:dyDescent="0.2">
      <c r="A39" s="7" t="s">
        <v>29</v>
      </c>
      <c r="B39" s="7" t="s">
        <v>48</v>
      </c>
      <c r="C39" s="7">
        <v>23000378</v>
      </c>
      <c r="D39" s="7">
        <v>9</v>
      </c>
      <c r="E39" s="8" t="s">
        <v>198</v>
      </c>
      <c r="F39" s="7" t="s">
        <v>142</v>
      </c>
      <c r="G39" s="9">
        <v>1.21</v>
      </c>
      <c r="H39" s="9">
        <v>300</v>
      </c>
      <c r="I39" s="7" t="s">
        <v>222</v>
      </c>
      <c r="J39" s="7" t="s">
        <v>118</v>
      </c>
      <c r="K39" s="10">
        <v>44985</v>
      </c>
      <c r="M39" s="24">
        <f t="shared" si="0"/>
        <v>363</v>
      </c>
      <c r="N39" s="25">
        <f t="shared" si="1"/>
        <v>9292800</v>
      </c>
      <c r="P39" s="26"/>
      <c r="Q39" s="26"/>
      <c r="R39" s="26"/>
    </row>
    <row r="40" spans="1:18" x14ac:dyDescent="0.2">
      <c r="A40" s="7" t="s">
        <v>29</v>
      </c>
      <c r="B40" s="7" t="s">
        <v>48</v>
      </c>
      <c r="C40" s="7">
        <v>24001088</v>
      </c>
      <c r="D40" s="7">
        <v>2</v>
      </c>
      <c r="E40" s="8" t="s">
        <v>150</v>
      </c>
      <c r="F40" s="7" t="s">
        <v>80</v>
      </c>
      <c r="G40" s="9">
        <v>0.83</v>
      </c>
      <c r="H40" s="9">
        <v>1000</v>
      </c>
      <c r="I40" s="7" t="s">
        <v>222</v>
      </c>
      <c r="J40" s="7" t="s">
        <v>159</v>
      </c>
      <c r="K40" s="10">
        <v>45399</v>
      </c>
      <c r="M40" s="24">
        <f t="shared" si="0"/>
        <v>830</v>
      </c>
      <c r="N40" s="25">
        <f t="shared" si="1"/>
        <v>21248000</v>
      </c>
      <c r="P40" s="26"/>
      <c r="Q40" s="26"/>
      <c r="R40" s="26"/>
    </row>
    <row r="41" spans="1:18" x14ac:dyDescent="0.2">
      <c r="A41" s="7" t="s">
        <v>29</v>
      </c>
      <c r="B41" s="7" t="s">
        <v>48</v>
      </c>
      <c r="C41" s="7">
        <v>23000378</v>
      </c>
      <c r="D41" s="7">
        <v>11</v>
      </c>
      <c r="E41" s="8" t="s">
        <v>218</v>
      </c>
      <c r="F41" s="7" t="s">
        <v>144</v>
      </c>
      <c r="G41" s="9">
        <v>1.25</v>
      </c>
      <c r="H41" s="9">
        <v>280</v>
      </c>
      <c r="I41" s="7" t="s">
        <v>222</v>
      </c>
      <c r="J41" s="7" t="s">
        <v>101</v>
      </c>
      <c r="K41" s="10">
        <v>44985</v>
      </c>
      <c r="M41" s="24">
        <f t="shared" si="0"/>
        <v>350</v>
      </c>
      <c r="N41" s="25">
        <f t="shared" si="1"/>
        <v>8960000</v>
      </c>
      <c r="P41" s="26"/>
      <c r="Q41" s="26"/>
      <c r="R41" s="26"/>
    </row>
    <row r="42" spans="1:18" x14ac:dyDescent="0.2">
      <c r="A42" s="7" t="s">
        <v>29</v>
      </c>
      <c r="B42" s="7" t="s">
        <v>48</v>
      </c>
      <c r="C42" s="7">
        <v>23000378</v>
      </c>
      <c r="D42" s="7">
        <v>12</v>
      </c>
      <c r="E42" s="8" t="s">
        <v>186</v>
      </c>
      <c r="F42" s="7" t="s">
        <v>236</v>
      </c>
      <c r="G42" s="9">
        <v>1.97</v>
      </c>
      <c r="H42" s="9">
        <v>270</v>
      </c>
      <c r="I42" s="7" t="s">
        <v>222</v>
      </c>
      <c r="J42" s="7" t="s">
        <v>7</v>
      </c>
      <c r="K42" s="10">
        <v>44985</v>
      </c>
      <c r="M42" s="24">
        <f t="shared" si="0"/>
        <v>531.9</v>
      </c>
      <c r="N42" s="25">
        <f t="shared" si="1"/>
        <v>13616640</v>
      </c>
      <c r="P42" s="26"/>
      <c r="Q42" s="26"/>
      <c r="R42" s="26"/>
    </row>
    <row r="43" spans="1:18" x14ac:dyDescent="0.2">
      <c r="A43" s="7" t="s">
        <v>29</v>
      </c>
      <c r="B43" s="7" t="s">
        <v>48</v>
      </c>
      <c r="C43" s="7">
        <v>23002601</v>
      </c>
      <c r="D43" s="7">
        <v>13</v>
      </c>
      <c r="E43" s="8" t="s">
        <v>51</v>
      </c>
      <c r="F43" s="7" t="s">
        <v>94</v>
      </c>
      <c r="G43" s="9">
        <v>1.37</v>
      </c>
      <c r="H43" s="9">
        <v>120</v>
      </c>
      <c r="I43" s="7" t="s">
        <v>222</v>
      </c>
      <c r="J43" s="7" t="s">
        <v>22</v>
      </c>
      <c r="K43" s="10">
        <v>45231</v>
      </c>
      <c r="M43" s="24">
        <f t="shared" si="0"/>
        <v>164.4</v>
      </c>
      <c r="N43" s="25">
        <f t="shared" si="1"/>
        <v>4208640</v>
      </c>
      <c r="P43" s="26"/>
      <c r="Q43" s="26"/>
      <c r="R43" s="26"/>
    </row>
    <row r="44" spans="1:18" x14ac:dyDescent="0.2">
      <c r="A44" s="7" t="s">
        <v>29</v>
      </c>
      <c r="B44" s="7" t="s">
        <v>48</v>
      </c>
      <c r="C44" s="7">
        <v>24002081</v>
      </c>
      <c r="D44" s="7">
        <v>3</v>
      </c>
      <c r="E44" s="8" t="s">
        <v>135</v>
      </c>
      <c r="F44" s="7" t="s">
        <v>92</v>
      </c>
      <c r="G44" s="9">
        <v>1.57</v>
      </c>
      <c r="H44" s="9">
        <v>200</v>
      </c>
      <c r="I44" s="7" t="s">
        <v>222</v>
      </c>
      <c r="J44" s="7" t="s">
        <v>265</v>
      </c>
      <c r="K44" s="10">
        <v>45471</v>
      </c>
      <c r="M44" s="24">
        <f t="shared" si="0"/>
        <v>314</v>
      </c>
      <c r="N44" s="25">
        <f t="shared" si="1"/>
        <v>8038400</v>
      </c>
      <c r="P44" s="26"/>
      <c r="Q44" s="26"/>
      <c r="R44" s="26"/>
    </row>
    <row r="45" spans="1:18" x14ac:dyDescent="0.2">
      <c r="A45" s="7" t="s">
        <v>29</v>
      </c>
      <c r="B45" s="7" t="s">
        <v>48</v>
      </c>
      <c r="C45" s="7">
        <v>24000062</v>
      </c>
      <c r="D45" s="7">
        <v>6</v>
      </c>
      <c r="E45" s="8" t="s">
        <v>32</v>
      </c>
      <c r="F45" s="7" t="s">
        <v>267</v>
      </c>
      <c r="G45" s="9">
        <v>2.2400000000000002</v>
      </c>
      <c r="H45" s="9">
        <v>80</v>
      </c>
      <c r="I45" s="7" t="s">
        <v>222</v>
      </c>
      <c r="J45" s="7" t="s">
        <v>239</v>
      </c>
      <c r="K45" s="10">
        <v>45299</v>
      </c>
      <c r="M45" s="24">
        <f t="shared" si="0"/>
        <v>179.20000000000002</v>
      </c>
      <c r="N45" s="25">
        <f t="shared" si="1"/>
        <v>4587520</v>
      </c>
      <c r="P45" s="26"/>
      <c r="Q45" s="26"/>
      <c r="R45" s="26"/>
    </row>
    <row r="46" spans="1:18" x14ac:dyDescent="0.2">
      <c r="A46" s="7" t="s">
        <v>29</v>
      </c>
      <c r="B46" s="7" t="s">
        <v>48</v>
      </c>
      <c r="C46" s="7">
        <v>24002081</v>
      </c>
      <c r="D46" s="7">
        <v>4</v>
      </c>
      <c r="E46" s="8" t="s">
        <v>245</v>
      </c>
      <c r="F46" s="7" t="s">
        <v>59</v>
      </c>
      <c r="G46" s="9">
        <v>2.34</v>
      </c>
      <c r="H46" s="9">
        <v>100</v>
      </c>
      <c r="I46" s="7" t="s">
        <v>222</v>
      </c>
      <c r="J46" s="7" t="s">
        <v>217</v>
      </c>
      <c r="K46" s="10">
        <v>45471</v>
      </c>
      <c r="M46" s="24">
        <f t="shared" si="0"/>
        <v>234</v>
      </c>
      <c r="N46" s="25">
        <f t="shared" si="1"/>
        <v>5990400</v>
      </c>
      <c r="P46" s="26"/>
      <c r="Q46" s="26"/>
      <c r="R46" s="26"/>
    </row>
    <row r="47" spans="1:18" x14ac:dyDescent="0.2">
      <c r="A47" s="7" t="s">
        <v>29</v>
      </c>
      <c r="B47" s="7" t="s">
        <v>48</v>
      </c>
      <c r="C47" s="7">
        <v>24002081</v>
      </c>
      <c r="D47" s="7">
        <v>5</v>
      </c>
      <c r="E47" s="8" t="s">
        <v>42</v>
      </c>
      <c r="F47" s="7" t="s">
        <v>247</v>
      </c>
      <c r="G47" s="9">
        <v>2.69</v>
      </c>
      <c r="H47" s="9">
        <v>30</v>
      </c>
      <c r="I47" s="7" t="s">
        <v>222</v>
      </c>
      <c r="J47" s="7" t="s">
        <v>268</v>
      </c>
      <c r="K47" s="10">
        <v>45471</v>
      </c>
      <c r="M47" s="24">
        <f t="shared" si="0"/>
        <v>80.7</v>
      </c>
      <c r="N47" s="25">
        <f t="shared" si="1"/>
        <v>2065920</v>
      </c>
      <c r="P47" s="26"/>
      <c r="Q47" s="26"/>
      <c r="R47" s="26"/>
    </row>
    <row r="48" spans="1:18" x14ac:dyDescent="0.2">
      <c r="A48" s="7" t="s">
        <v>29</v>
      </c>
      <c r="B48" s="7" t="s">
        <v>48</v>
      </c>
      <c r="C48" s="7">
        <v>24002081</v>
      </c>
      <c r="D48" s="7">
        <v>6</v>
      </c>
      <c r="E48" s="8" t="s">
        <v>181</v>
      </c>
      <c r="F48" s="7" t="s">
        <v>99</v>
      </c>
      <c r="G48" s="9">
        <v>2.42</v>
      </c>
      <c r="H48" s="9">
        <v>50</v>
      </c>
      <c r="I48" s="7" t="s">
        <v>222</v>
      </c>
      <c r="J48" s="7" t="s">
        <v>125</v>
      </c>
      <c r="K48" s="10">
        <v>45471</v>
      </c>
      <c r="M48" s="24">
        <f t="shared" si="0"/>
        <v>121</v>
      </c>
      <c r="N48" s="25">
        <f t="shared" si="1"/>
        <v>3097600</v>
      </c>
      <c r="P48" s="26"/>
      <c r="Q48" s="26"/>
      <c r="R48" s="26"/>
    </row>
    <row r="49" spans="1:18" x14ac:dyDescent="0.2">
      <c r="A49" s="7" t="s">
        <v>29</v>
      </c>
      <c r="B49" s="7" t="s">
        <v>48</v>
      </c>
      <c r="C49" s="7">
        <v>23000378</v>
      </c>
      <c r="D49" s="7">
        <v>39</v>
      </c>
      <c r="E49" s="8" t="s">
        <v>209</v>
      </c>
      <c r="F49" s="7" t="s">
        <v>225</v>
      </c>
      <c r="G49" s="9">
        <v>2.21</v>
      </c>
      <c r="H49" s="9">
        <v>200</v>
      </c>
      <c r="I49" s="7" t="s">
        <v>222</v>
      </c>
      <c r="J49" s="7" t="s">
        <v>254</v>
      </c>
      <c r="K49" s="10">
        <v>44985</v>
      </c>
      <c r="M49" s="24">
        <f t="shared" si="0"/>
        <v>442</v>
      </c>
      <c r="N49" s="25">
        <f t="shared" si="1"/>
        <v>11315200</v>
      </c>
      <c r="P49" s="26"/>
      <c r="Q49" s="26"/>
      <c r="R49" s="26"/>
    </row>
    <row r="50" spans="1:18" x14ac:dyDescent="0.2">
      <c r="A50" s="7" t="s">
        <v>29</v>
      </c>
      <c r="B50" s="7" t="s">
        <v>48</v>
      </c>
      <c r="C50" s="7">
        <v>23000378</v>
      </c>
      <c r="D50" s="7">
        <v>33</v>
      </c>
      <c r="E50" s="8" t="s">
        <v>140</v>
      </c>
      <c r="F50" s="7" t="s">
        <v>280</v>
      </c>
      <c r="G50" s="9">
        <v>3.21</v>
      </c>
      <c r="H50" s="9">
        <v>15</v>
      </c>
      <c r="I50" s="7" t="s">
        <v>222</v>
      </c>
      <c r="J50" s="7" t="s">
        <v>139</v>
      </c>
      <c r="K50" s="10">
        <v>44985</v>
      </c>
      <c r="M50" s="24">
        <f t="shared" si="0"/>
        <v>48.15</v>
      </c>
      <c r="N50" s="25">
        <f t="shared" si="1"/>
        <v>1232640</v>
      </c>
      <c r="P50" s="26"/>
      <c r="Q50" s="26"/>
      <c r="R50" s="26"/>
    </row>
    <row r="51" spans="1:18" x14ac:dyDescent="0.2">
      <c r="A51" s="7" t="s">
        <v>29</v>
      </c>
      <c r="B51" s="7" t="s">
        <v>48</v>
      </c>
      <c r="C51" s="7">
        <v>24000062</v>
      </c>
      <c r="D51" s="7">
        <v>8</v>
      </c>
      <c r="E51" s="8" t="s">
        <v>6</v>
      </c>
      <c r="F51" s="7" t="s">
        <v>261</v>
      </c>
      <c r="G51" s="9">
        <v>2.64</v>
      </c>
      <c r="H51" s="9">
        <v>90</v>
      </c>
      <c r="I51" s="7" t="s">
        <v>222</v>
      </c>
      <c r="J51" s="7" t="s">
        <v>45</v>
      </c>
      <c r="K51" s="10">
        <v>45299</v>
      </c>
      <c r="M51" s="24">
        <f t="shared" si="0"/>
        <v>237.60000000000002</v>
      </c>
      <c r="N51" s="25">
        <f t="shared" si="1"/>
        <v>6082560.0000000009</v>
      </c>
      <c r="P51" s="26"/>
      <c r="Q51" s="26"/>
      <c r="R51" s="26"/>
    </row>
    <row r="52" spans="1:18" x14ac:dyDescent="0.2">
      <c r="A52" s="7" t="s">
        <v>29</v>
      </c>
      <c r="B52" s="7" t="s">
        <v>48</v>
      </c>
      <c r="C52" s="7">
        <v>23000378</v>
      </c>
      <c r="D52" s="7">
        <v>13</v>
      </c>
      <c r="E52" s="8" t="s">
        <v>199</v>
      </c>
      <c r="F52" s="7" t="s">
        <v>182</v>
      </c>
      <c r="G52" s="9">
        <v>3.02</v>
      </c>
      <c r="H52" s="9">
        <v>210</v>
      </c>
      <c r="I52" s="7" t="s">
        <v>222</v>
      </c>
      <c r="J52" s="7" t="s">
        <v>67</v>
      </c>
      <c r="K52" s="10">
        <v>44985</v>
      </c>
      <c r="M52" s="24">
        <f t="shared" si="0"/>
        <v>634.20000000000005</v>
      </c>
      <c r="N52" s="25">
        <f t="shared" si="1"/>
        <v>16235520.000000002</v>
      </c>
      <c r="P52" s="26"/>
      <c r="Q52" s="26"/>
      <c r="R52" s="26"/>
    </row>
    <row r="53" spans="1:18" x14ac:dyDescent="0.2">
      <c r="A53" s="7" t="s">
        <v>29</v>
      </c>
      <c r="B53" s="7" t="s">
        <v>48</v>
      </c>
      <c r="C53" s="7">
        <v>23000378</v>
      </c>
      <c r="D53" s="7">
        <v>14</v>
      </c>
      <c r="E53" s="8" t="s">
        <v>272</v>
      </c>
      <c r="F53" s="7" t="s">
        <v>253</v>
      </c>
      <c r="G53" s="9">
        <v>4.84</v>
      </c>
      <c r="H53" s="9">
        <v>300</v>
      </c>
      <c r="I53" s="7" t="s">
        <v>222</v>
      </c>
      <c r="J53" s="7" t="s">
        <v>173</v>
      </c>
      <c r="K53" s="10">
        <v>44985</v>
      </c>
      <c r="M53" s="24">
        <f t="shared" si="0"/>
        <v>1452</v>
      </c>
      <c r="N53" s="25">
        <f t="shared" si="1"/>
        <v>37171200</v>
      </c>
      <c r="P53" s="26"/>
      <c r="Q53" s="26"/>
      <c r="R53" s="26"/>
    </row>
    <row r="54" spans="1:18" x14ac:dyDescent="0.2">
      <c r="A54" s="7" t="s">
        <v>29</v>
      </c>
      <c r="B54" s="7" t="s">
        <v>48</v>
      </c>
      <c r="C54" s="7">
        <v>24000062</v>
      </c>
      <c r="D54" s="7">
        <v>1</v>
      </c>
      <c r="E54" s="8" t="s">
        <v>66</v>
      </c>
      <c r="F54" s="7" t="s">
        <v>84</v>
      </c>
      <c r="G54" s="9">
        <v>5.0999999999999996</v>
      </c>
      <c r="H54" s="9">
        <v>105</v>
      </c>
      <c r="I54" s="7" t="s">
        <v>222</v>
      </c>
      <c r="J54" s="7" t="s">
        <v>77</v>
      </c>
      <c r="K54" s="10">
        <v>45299</v>
      </c>
      <c r="M54" s="24">
        <f t="shared" si="0"/>
        <v>535.5</v>
      </c>
      <c r="N54" s="25">
        <f t="shared" si="1"/>
        <v>13708800</v>
      </c>
      <c r="P54" s="26"/>
      <c r="Q54" s="26"/>
      <c r="R54" s="26"/>
    </row>
    <row r="55" spans="1:18" x14ac:dyDescent="0.2">
      <c r="A55" s="7" t="s">
        <v>29</v>
      </c>
      <c r="B55" s="7" t="s">
        <v>48</v>
      </c>
      <c r="C55" s="7">
        <v>24001405</v>
      </c>
      <c r="D55" s="7">
        <v>6</v>
      </c>
      <c r="E55" s="8" t="s">
        <v>235</v>
      </c>
      <c r="F55" s="7" t="s">
        <v>90</v>
      </c>
      <c r="G55" s="9">
        <v>1.59</v>
      </c>
      <c r="H55" s="9">
        <v>750</v>
      </c>
      <c r="I55" s="7" t="s">
        <v>222</v>
      </c>
      <c r="J55" s="7" t="s">
        <v>215</v>
      </c>
      <c r="K55" s="10">
        <v>45426</v>
      </c>
      <c r="M55" s="24">
        <f t="shared" si="0"/>
        <v>1192.5</v>
      </c>
      <c r="N55" s="25">
        <f t="shared" si="1"/>
        <v>30528000</v>
      </c>
      <c r="P55" s="26"/>
      <c r="Q55" s="26"/>
      <c r="R55" s="26"/>
    </row>
    <row r="56" spans="1:18" x14ac:dyDescent="0.2">
      <c r="A56" s="7" t="s">
        <v>29</v>
      </c>
      <c r="B56" s="7" t="s">
        <v>48</v>
      </c>
      <c r="C56" s="7">
        <v>24002556</v>
      </c>
      <c r="D56" s="7">
        <v>2</v>
      </c>
      <c r="E56" s="8" t="s">
        <v>126</v>
      </c>
      <c r="F56" s="7" t="s">
        <v>224</v>
      </c>
      <c r="G56" s="9">
        <v>2.79</v>
      </c>
      <c r="H56" s="9">
        <v>500</v>
      </c>
      <c r="I56" s="7" t="s">
        <v>222</v>
      </c>
      <c r="J56" s="7" t="s">
        <v>95</v>
      </c>
      <c r="K56" s="10">
        <v>45504</v>
      </c>
      <c r="M56" s="24">
        <f t="shared" si="0"/>
        <v>1395</v>
      </c>
      <c r="N56" s="25">
        <f t="shared" si="1"/>
        <v>35712000</v>
      </c>
      <c r="P56" s="26"/>
      <c r="Q56" s="26"/>
      <c r="R56" s="26"/>
    </row>
    <row r="57" spans="1:18" x14ac:dyDescent="0.2">
      <c r="A57" s="7" t="s">
        <v>29</v>
      </c>
      <c r="B57" s="7" t="s">
        <v>48</v>
      </c>
      <c r="C57" s="7">
        <v>23000378</v>
      </c>
      <c r="D57" s="7">
        <v>16</v>
      </c>
      <c r="E57" s="8" t="s">
        <v>223</v>
      </c>
      <c r="F57" s="7" t="s">
        <v>187</v>
      </c>
      <c r="G57" s="9">
        <v>2.2799999999999998</v>
      </c>
      <c r="H57" s="9">
        <v>90</v>
      </c>
      <c r="I57" s="7" t="s">
        <v>222</v>
      </c>
      <c r="J57" s="7" t="s">
        <v>192</v>
      </c>
      <c r="K57" s="10">
        <v>44985</v>
      </c>
      <c r="M57" s="24">
        <f t="shared" si="0"/>
        <v>205.2</v>
      </c>
      <c r="N57" s="25">
        <f t="shared" si="1"/>
        <v>5253120</v>
      </c>
      <c r="P57" s="26"/>
      <c r="Q57" s="26"/>
      <c r="R57" s="26"/>
    </row>
    <row r="58" spans="1:18" x14ac:dyDescent="0.2">
      <c r="A58" s="7" t="s">
        <v>29</v>
      </c>
      <c r="B58" s="7" t="s">
        <v>48</v>
      </c>
      <c r="C58" s="7">
        <v>24001405</v>
      </c>
      <c r="D58" s="7">
        <v>7</v>
      </c>
      <c r="E58" s="8" t="s">
        <v>36</v>
      </c>
      <c r="F58" s="7" t="s">
        <v>163</v>
      </c>
      <c r="G58" s="9">
        <v>4.7</v>
      </c>
      <c r="H58" s="9">
        <v>15</v>
      </c>
      <c r="I58" s="7" t="s">
        <v>222</v>
      </c>
      <c r="J58" s="7" t="s">
        <v>9</v>
      </c>
      <c r="K58" s="10">
        <v>45426</v>
      </c>
      <c r="M58" s="24">
        <f t="shared" si="0"/>
        <v>70.5</v>
      </c>
      <c r="N58" s="25">
        <f t="shared" si="1"/>
        <v>1804800</v>
      </c>
      <c r="P58" s="26"/>
      <c r="Q58" s="26"/>
      <c r="R58" s="26"/>
    </row>
    <row r="59" spans="1:18" x14ac:dyDescent="0.2">
      <c r="A59" s="7" t="s">
        <v>29</v>
      </c>
      <c r="B59" s="7" t="s">
        <v>48</v>
      </c>
      <c r="C59" s="7">
        <v>24000062</v>
      </c>
      <c r="D59" s="7">
        <v>2</v>
      </c>
      <c r="E59" s="8" t="s">
        <v>191</v>
      </c>
      <c r="F59" s="7" t="s">
        <v>275</v>
      </c>
      <c r="G59" s="9">
        <v>5.43</v>
      </c>
      <c r="H59" s="9">
        <v>100</v>
      </c>
      <c r="I59" s="7" t="s">
        <v>222</v>
      </c>
      <c r="J59" s="7" t="s">
        <v>168</v>
      </c>
      <c r="K59" s="10">
        <v>45299</v>
      </c>
      <c r="M59" s="24">
        <f t="shared" si="0"/>
        <v>543</v>
      </c>
      <c r="N59" s="25">
        <f t="shared" si="1"/>
        <v>13900800</v>
      </c>
      <c r="P59" s="26"/>
      <c r="Q59" s="26"/>
      <c r="R59" s="26"/>
    </row>
    <row r="60" spans="1:18" x14ac:dyDescent="0.2">
      <c r="A60" s="7" t="s">
        <v>29</v>
      </c>
      <c r="B60" s="7" t="s">
        <v>48</v>
      </c>
      <c r="C60" s="7">
        <v>24000062</v>
      </c>
      <c r="D60" s="7">
        <v>7</v>
      </c>
      <c r="E60" s="8" t="s">
        <v>123</v>
      </c>
      <c r="F60" s="7" t="s">
        <v>184</v>
      </c>
      <c r="G60" s="9">
        <v>2.5099999999999998</v>
      </c>
      <c r="H60" s="9">
        <v>90</v>
      </c>
      <c r="I60" s="7" t="s">
        <v>222</v>
      </c>
      <c r="J60" s="7" t="s">
        <v>208</v>
      </c>
      <c r="K60" s="10">
        <v>45299</v>
      </c>
      <c r="M60" s="24">
        <f t="shared" si="0"/>
        <v>225.89999999999998</v>
      </c>
      <c r="N60" s="25">
        <f t="shared" si="1"/>
        <v>5783039.9999999991</v>
      </c>
      <c r="P60" s="26"/>
      <c r="Q60" s="26"/>
      <c r="R60" s="26"/>
    </row>
    <row r="61" spans="1:18" x14ac:dyDescent="0.2">
      <c r="A61" s="7" t="s">
        <v>29</v>
      </c>
      <c r="B61" s="7" t="s">
        <v>48</v>
      </c>
      <c r="C61" s="7">
        <v>24000062</v>
      </c>
      <c r="D61" s="7">
        <v>9</v>
      </c>
      <c r="E61" s="8" t="s">
        <v>133</v>
      </c>
      <c r="F61" s="7" t="s">
        <v>117</v>
      </c>
      <c r="G61" s="9">
        <v>3.58</v>
      </c>
      <c r="H61" s="9">
        <v>100</v>
      </c>
      <c r="I61" s="7" t="s">
        <v>222</v>
      </c>
      <c r="J61" s="7" t="s">
        <v>170</v>
      </c>
      <c r="K61" s="10">
        <v>45299</v>
      </c>
      <c r="M61" s="24">
        <f t="shared" si="0"/>
        <v>358</v>
      </c>
      <c r="N61" s="25">
        <f t="shared" si="1"/>
        <v>9164800</v>
      </c>
      <c r="P61" s="26"/>
      <c r="Q61" s="26"/>
      <c r="R61" s="26"/>
    </row>
    <row r="62" spans="1:18" x14ac:dyDescent="0.2">
      <c r="A62" s="7" t="s">
        <v>29</v>
      </c>
      <c r="B62" s="7" t="s">
        <v>48</v>
      </c>
      <c r="C62" s="7">
        <v>23000378</v>
      </c>
      <c r="D62" s="7">
        <v>17</v>
      </c>
      <c r="E62" s="8" t="s">
        <v>169</v>
      </c>
      <c r="F62" s="7" t="s">
        <v>250</v>
      </c>
      <c r="G62" s="9">
        <v>3.91</v>
      </c>
      <c r="H62" s="9">
        <v>200</v>
      </c>
      <c r="I62" s="7" t="s">
        <v>222</v>
      </c>
      <c r="J62" s="7" t="s">
        <v>285</v>
      </c>
      <c r="K62" s="10">
        <v>44985</v>
      </c>
      <c r="M62" s="24">
        <f t="shared" si="0"/>
        <v>782</v>
      </c>
      <c r="N62" s="25">
        <f t="shared" si="1"/>
        <v>20019200</v>
      </c>
      <c r="P62" s="26"/>
      <c r="Q62" s="26"/>
      <c r="R62" s="26"/>
    </row>
    <row r="63" spans="1:18" ht="25.5" x14ac:dyDescent="0.2">
      <c r="A63" s="7" t="s">
        <v>29</v>
      </c>
      <c r="B63" s="7" t="s">
        <v>48</v>
      </c>
      <c r="C63" s="7">
        <v>24000923</v>
      </c>
      <c r="D63" s="7">
        <v>2</v>
      </c>
      <c r="E63" s="8" t="s">
        <v>130</v>
      </c>
      <c r="F63" s="11" t="s">
        <v>79</v>
      </c>
      <c r="G63" s="9">
        <v>3.93</v>
      </c>
      <c r="H63" s="9">
        <v>40</v>
      </c>
      <c r="I63" s="7" t="s">
        <v>222</v>
      </c>
      <c r="J63" s="7" t="s">
        <v>103</v>
      </c>
      <c r="K63" s="10">
        <v>45386</v>
      </c>
      <c r="M63" s="24">
        <f t="shared" si="0"/>
        <v>157.20000000000002</v>
      </c>
      <c r="N63" s="25">
        <f t="shared" si="1"/>
        <v>4024320.0000000005</v>
      </c>
      <c r="P63" s="26"/>
      <c r="Q63" s="26"/>
      <c r="R63" s="26"/>
    </row>
    <row r="64" spans="1:18" x14ac:dyDescent="0.2">
      <c r="A64" s="7" t="s">
        <v>29</v>
      </c>
      <c r="B64" s="7" t="s">
        <v>48</v>
      </c>
      <c r="C64" s="7">
        <v>24000440</v>
      </c>
      <c r="D64" s="7">
        <v>11</v>
      </c>
      <c r="E64" s="8" t="s">
        <v>271</v>
      </c>
      <c r="F64" s="7" t="s">
        <v>284</v>
      </c>
      <c r="G64" s="9">
        <v>6.52</v>
      </c>
      <c r="H64" s="9">
        <v>60</v>
      </c>
      <c r="I64" s="7" t="s">
        <v>222</v>
      </c>
      <c r="J64" s="7" t="s">
        <v>152</v>
      </c>
      <c r="K64" s="10">
        <v>45344</v>
      </c>
      <c r="M64" s="24">
        <f t="shared" si="0"/>
        <v>391.2</v>
      </c>
      <c r="N64" s="25">
        <f t="shared" si="1"/>
        <v>10014720</v>
      </c>
      <c r="P64" s="26"/>
      <c r="Q64" s="26"/>
      <c r="R64" s="26"/>
    </row>
    <row r="65" spans="1:18" x14ac:dyDescent="0.2">
      <c r="A65" s="7" t="s">
        <v>29</v>
      </c>
      <c r="B65" s="7" t="s">
        <v>48</v>
      </c>
      <c r="C65" s="7">
        <v>23000378</v>
      </c>
      <c r="D65" s="7">
        <v>37</v>
      </c>
      <c r="E65" s="8" t="s">
        <v>149</v>
      </c>
      <c r="F65" s="7" t="s">
        <v>97</v>
      </c>
      <c r="G65" s="9">
        <v>3.93</v>
      </c>
      <c r="H65" s="9">
        <v>200</v>
      </c>
      <c r="I65" s="7" t="s">
        <v>222</v>
      </c>
      <c r="J65" s="7" t="s">
        <v>103</v>
      </c>
      <c r="K65" s="10">
        <v>44985</v>
      </c>
      <c r="M65" s="24">
        <f t="shared" si="0"/>
        <v>786</v>
      </c>
      <c r="N65" s="25">
        <f t="shared" si="1"/>
        <v>20121600</v>
      </c>
      <c r="P65" s="26"/>
      <c r="Q65" s="26"/>
      <c r="R65" s="26"/>
    </row>
    <row r="66" spans="1:18" x14ac:dyDescent="0.2">
      <c r="A66" s="7" t="s">
        <v>29</v>
      </c>
      <c r="B66" s="7" t="s">
        <v>48</v>
      </c>
      <c r="C66" s="7">
        <v>24000220</v>
      </c>
      <c r="D66" s="7">
        <v>2</v>
      </c>
      <c r="E66" s="8" t="s">
        <v>246</v>
      </c>
      <c r="F66" s="7" t="s">
        <v>33</v>
      </c>
      <c r="G66" s="9">
        <v>4.18</v>
      </c>
      <c r="H66" s="9">
        <v>20</v>
      </c>
      <c r="I66" s="7" t="s">
        <v>222</v>
      </c>
      <c r="J66" s="7" t="s">
        <v>276</v>
      </c>
      <c r="K66" s="10">
        <v>45313</v>
      </c>
      <c r="M66" s="24">
        <f t="shared" si="0"/>
        <v>83.6</v>
      </c>
      <c r="N66" s="25">
        <f t="shared" si="1"/>
        <v>2140160</v>
      </c>
      <c r="P66" s="26"/>
      <c r="Q66" s="26"/>
      <c r="R66" s="26"/>
    </row>
    <row r="67" spans="1:18" x14ac:dyDescent="0.2">
      <c r="A67" s="7" t="s">
        <v>29</v>
      </c>
      <c r="B67" s="7" t="s">
        <v>48</v>
      </c>
      <c r="C67" s="7">
        <v>23000378</v>
      </c>
      <c r="D67" s="7">
        <v>18</v>
      </c>
      <c r="E67" s="8" t="s">
        <v>243</v>
      </c>
      <c r="F67" s="7" t="s">
        <v>203</v>
      </c>
      <c r="G67" s="9">
        <v>5.65</v>
      </c>
      <c r="H67" s="9">
        <v>50</v>
      </c>
      <c r="I67" s="7" t="s">
        <v>222</v>
      </c>
      <c r="J67" s="7" t="s">
        <v>64</v>
      </c>
      <c r="K67" s="10">
        <v>44985</v>
      </c>
      <c r="M67" s="24">
        <f t="shared" ref="M67:M94" si="2">G67*H67</f>
        <v>282.5</v>
      </c>
      <c r="N67" s="25">
        <f t="shared" ref="N67:N94" si="3">M67*25600</f>
        <v>7232000</v>
      </c>
      <c r="P67" s="26"/>
      <c r="Q67" s="26"/>
      <c r="R67" s="26"/>
    </row>
    <row r="68" spans="1:18" x14ac:dyDescent="0.2">
      <c r="A68" s="7" t="s">
        <v>29</v>
      </c>
      <c r="B68" s="7" t="s">
        <v>48</v>
      </c>
      <c r="C68" s="7">
        <v>23000378</v>
      </c>
      <c r="D68" s="7">
        <v>19</v>
      </c>
      <c r="E68" s="8" t="s">
        <v>162</v>
      </c>
      <c r="F68" s="7" t="s">
        <v>277</v>
      </c>
      <c r="G68" s="9">
        <v>5.13</v>
      </c>
      <c r="H68" s="9">
        <v>10</v>
      </c>
      <c r="I68" s="7" t="s">
        <v>222</v>
      </c>
      <c r="J68" s="7" t="s">
        <v>257</v>
      </c>
      <c r="K68" s="10">
        <v>44985</v>
      </c>
      <c r="M68" s="24">
        <f t="shared" si="2"/>
        <v>51.3</v>
      </c>
      <c r="N68" s="25">
        <f t="shared" si="3"/>
        <v>1313280</v>
      </c>
      <c r="P68" s="26"/>
      <c r="Q68" s="26"/>
      <c r="R68" s="26"/>
    </row>
    <row r="69" spans="1:18" x14ac:dyDescent="0.2">
      <c r="A69" s="7" t="s">
        <v>29</v>
      </c>
      <c r="B69" s="7" t="s">
        <v>48</v>
      </c>
      <c r="C69" s="7">
        <v>23000378</v>
      </c>
      <c r="D69" s="7">
        <v>27</v>
      </c>
      <c r="E69" s="8" t="s">
        <v>35</v>
      </c>
      <c r="F69" s="7" t="s">
        <v>200</v>
      </c>
      <c r="G69" s="9">
        <v>6.41</v>
      </c>
      <c r="H69" s="9">
        <v>10</v>
      </c>
      <c r="I69" s="7" t="s">
        <v>222</v>
      </c>
      <c r="J69" s="7" t="s">
        <v>252</v>
      </c>
      <c r="K69" s="10">
        <v>44985</v>
      </c>
      <c r="M69" s="24">
        <f t="shared" si="2"/>
        <v>64.099999999999994</v>
      </c>
      <c r="N69" s="25">
        <f t="shared" si="3"/>
        <v>1640959.9999999998</v>
      </c>
      <c r="P69" s="26"/>
      <c r="Q69" s="26"/>
      <c r="R69" s="26"/>
    </row>
    <row r="70" spans="1:18" x14ac:dyDescent="0.2">
      <c r="A70" s="7" t="s">
        <v>29</v>
      </c>
      <c r="B70" s="7" t="s">
        <v>48</v>
      </c>
      <c r="C70" s="7">
        <v>24000440</v>
      </c>
      <c r="D70" s="7">
        <v>8</v>
      </c>
      <c r="E70" s="8" t="s">
        <v>213</v>
      </c>
      <c r="F70" s="7" t="s">
        <v>43</v>
      </c>
      <c r="G70" s="9">
        <v>9.34</v>
      </c>
      <c r="H70" s="9">
        <v>36</v>
      </c>
      <c r="I70" s="7" t="s">
        <v>222</v>
      </c>
      <c r="J70" s="7" t="s">
        <v>233</v>
      </c>
      <c r="K70" s="10">
        <v>45344</v>
      </c>
      <c r="M70" s="24">
        <f t="shared" si="2"/>
        <v>336.24</v>
      </c>
      <c r="N70" s="25">
        <f t="shared" si="3"/>
        <v>8607744</v>
      </c>
      <c r="P70" s="26"/>
      <c r="Q70" s="26"/>
      <c r="R70" s="26"/>
    </row>
    <row r="71" spans="1:18" x14ac:dyDescent="0.2">
      <c r="A71" s="7" t="s">
        <v>29</v>
      </c>
      <c r="B71" s="7" t="s">
        <v>48</v>
      </c>
      <c r="C71" s="7">
        <v>24000440</v>
      </c>
      <c r="D71" s="7">
        <v>7</v>
      </c>
      <c r="E71" s="8" t="s">
        <v>242</v>
      </c>
      <c r="F71" s="7" t="s">
        <v>179</v>
      </c>
      <c r="G71" s="9">
        <v>5.67</v>
      </c>
      <c r="H71" s="9">
        <v>100</v>
      </c>
      <c r="I71" s="7" t="s">
        <v>222</v>
      </c>
      <c r="J71" s="7" t="s">
        <v>49</v>
      </c>
      <c r="K71" s="10">
        <v>45344</v>
      </c>
      <c r="M71" s="24">
        <f t="shared" si="2"/>
        <v>567</v>
      </c>
      <c r="N71" s="25">
        <f t="shared" si="3"/>
        <v>14515200</v>
      </c>
      <c r="P71" s="26"/>
      <c r="Q71" s="26"/>
      <c r="R71" s="26"/>
    </row>
    <row r="72" spans="1:18" x14ac:dyDescent="0.2">
      <c r="A72" s="7" t="s">
        <v>29</v>
      </c>
      <c r="B72" s="7" t="s">
        <v>48</v>
      </c>
      <c r="C72" s="7">
        <v>24001405</v>
      </c>
      <c r="D72" s="7">
        <v>8</v>
      </c>
      <c r="E72" s="8" t="s">
        <v>287</v>
      </c>
      <c r="F72" s="7" t="s">
        <v>201</v>
      </c>
      <c r="G72" s="9">
        <v>4.1100000000000003</v>
      </c>
      <c r="H72" s="9">
        <v>480</v>
      </c>
      <c r="I72" s="7" t="s">
        <v>222</v>
      </c>
      <c r="J72" s="7" t="s">
        <v>86</v>
      </c>
      <c r="K72" s="10">
        <v>45426</v>
      </c>
      <c r="M72" s="24">
        <f t="shared" si="2"/>
        <v>1972.8000000000002</v>
      </c>
      <c r="N72" s="25">
        <f t="shared" si="3"/>
        <v>50503680.000000007</v>
      </c>
      <c r="P72" s="26"/>
      <c r="Q72" s="26"/>
      <c r="R72" s="26"/>
    </row>
    <row r="73" spans="1:18" x14ac:dyDescent="0.2">
      <c r="A73" s="7" t="s">
        <v>29</v>
      </c>
      <c r="B73" s="7" t="s">
        <v>48</v>
      </c>
      <c r="C73" s="7">
        <v>24001405</v>
      </c>
      <c r="D73" s="7">
        <v>9</v>
      </c>
      <c r="E73" s="8" t="s">
        <v>269</v>
      </c>
      <c r="F73" s="7" t="s">
        <v>156</v>
      </c>
      <c r="G73" s="9">
        <v>4.09</v>
      </c>
      <c r="H73" s="9">
        <v>210</v>
      </c>
      <c r="I73" s="7" t="s">
        <v>222</v>
      </c>
      <c r="J73" s="7" t="s">
        <v>25</v>
      </c>
      <c r="K73" s="10">
        <v>45426</v>
      </c>
      <c r="M73" s="24">
        <f t="shared" si="2"/>
        <v>858.9</v>
      </c>
      <c r="N73" s="25">
        <f t="shared" si="3"/>
        <v>21987840</v>
      </c>
      <c r="P73" s="26"/>
      <c r="Q73" s="26"/>
      <c r="R73" s="26"/>
    </row>
    <row r="74" spans="1:18" x14ac:dyDescent="0.2">
      <c r="A74" s="7" t="s">
        <v>29</v>
      </c>
      <c r="B74" s="7" t="s">
        <v>48</v>
      </c>
      <c r="C74" s="7">
        <v>24000062</v>
      </c>
      <c r="D74" s="7">
        <v>5</v>
      </c>
      <c r="E74" s="8" t="s">
        <v>166</v>
      </c>
      <c r="F74" s="7" t="s">
        <v>85</v>
      </c>
      <c r="G74" s="9">
        <v>6.24</v>
      </c>
      <c r="H74" s="9">
        <v>96</v>
      </c>
      <c r="I74" s="7" t="s">
        <v>222</v>
      </c>
      <c r="J74" s="7" t="s">
        <v>87</v>
      </c>
      <c r="K74" s="10">
        <v>45299</v>
      </c>
      <c r="M74" s="24">
        <f t="shared" si="2"/>
        <v>599.04</v>
      </c>
      <c r="N74" s="25">
        <f t="shared" si="3"/>
        <v>15335424</v>
      </c>
      <c r="P74" s="26"/>
      <c r="Q74" s="26"/>
      <c r="R74" s="26"/>
    </row>
    <row r="75" spans="1:18" x14ac:dyDescent="0.2">
      <c r="A75" s="7" t="s">
        <v>29</v>
      </c>
      <c r="B75" s="7" t="s">
        <v>48</v>
      </c>
      <c r="C75" s="7">
        <v>23002601</v>
      </c>
      <c r="D75" s="7">
        <v>10</v>
      </c>
      <c r="E75" s="8" t="s">
        <v>62</v>
      </c>
      <c r="F75" s="7" t="s">
        <v>65</v>
      </c>
      <c r="G75" s="9">
        <v>6.32</v>
      </c>
      <c r="H75" s="9">
        <v>27</v>
      </c>
      <c r="I75" s="7" t="s">
        <v>222</v>
      </c>
      <c r="J75" s="7" t="s">
        <v>256</v>
      </c>
      <c r="K75" s="10">
        <v>45231</v>
      </c>
      <c r="M75" s="24">
        <f t="shared" si="2"/>
        <v>170.64000000000001</v>
      </c>
      <c r="N75" s="25">
        <f t="shared" si="3"/>
        <v>4368384</v>
      </c>
      <c r="P75" s="26"/>
      <c r="Q75" s="26"/>
      <c r="R75" s="26"/>
    </row>
    <row r="76" spans="1:18" x14ac:dyDescent="0.2">
      <c r="A76" s="7" t="s">
        <v>29</v>
      </c>
      <c r="B76" s="7" t="s">
        <v>48</v>
      </c>
      <c r="C76" s="7">
        <v>23000378</v>
      </c>
      <c r="D76" s="7">
        <v>29</v>
      </c>
      <c r="E76" s="8" t="s">
        <v>171</v>
      </c>
      <c r="F76" s="7" t="s">
        <v>47</v>
      </c>
      <c r="G76" s="9">
        <v>6.55</v>
      </c>
      <c r="H76" s="9">
        <v>90</v>
      </c>
      <c r="I76" s="7" t="s">
        <v>222</v>
      </c>
      <c r="J76" s="7" t="s">
        <v>114</v>
      </c>
      <c r="K76" s="10">
        <v>44985</v>
      </c>
      <c r="M76" s="24">
        <f t="shared" si="2"/>
        <v>589.5</v>
      </c>
      <c r="N76" s="25">
        <f t="shared" si="3"/>
        <v>15091200</v>
      </c>
      <c r="P76" s="26"/>
      <c r="Q76" s="26"/>
      <c r="R76" s="26"/>
    </row>
    <row r="77" spans="1:18" x14ac:dyDescent="0.2">
      <c r="A77" s="7" t="s">
        <v>29</v>
      </c>
      <c r="B77" s="7" t="s">
        <v>48</v>
      </c>
      <c r="C77" s="7">
        <v>24000062</v>
      </c>
      <c r="D77" s="7">
        <v>4</v>
      </c>
      <c r="E77" s="8" t="s">
        <v>202</v>
      </c>
      <c r="F77" s="7" t="s">
        <v>281</v>
      </c>
      <c r="G77" s="9">
        <v>7.58</v>
      </c>
      <c r="H77" s="9">
        <v>100</v>
      </c>
      <c r="I77" s="7" t="s">
        <v>222</v>
      </c>
      <c r="J77" s="7" t="s">
        <v>249</v>
      </c>
      <c r="K77" s="10">
        <v>45299</v>
      </c>
      <c r="M77" s="24">
        <f t="shared" si="2"/>
        <v>758</v>
      </c>
      <c r="N77" s="25">
        <f t="shared" si="3"/>
        <v>19404800</v>
      </c>
      <c r="P77" s="26"/>
      <c r="Q77" s="26"/>
      <c r="R77" s="26"/>
    </row>
    <row r="78" spans="1:18" x14ac:dyDescent="0.2">
      <c r="A78" s="7" t="s">
        <v>29</v>
      </c>
      <c r="B78" s="7" t="s">
        <v>48</v>
      </c>
      <c r="C78" s="7">
        <v>24000440</v>
      </c>
      <c r="D78" s="7">
        <v>1</v>
      </c>
      <c r="E78" s="8" t="s">
        <v>100</v>
      </c>
      <c r="F78" s="7" t="s">
        <v>167</v>
      </c>
      <c r="G78" s="9">
        <v>4.09</v>
      </c>
      <c r="H78" s="9">
        <v>1200</v>
      </c>
      <c r="I78" s="7" t="s">
        <v>222</v>
      </c>
      <c r="J78" s="7" t="s">
        <v>25</v>
      </c>
      <c r="K78" s="10">
        <v>45344</v>
      </c>
      <c r="M78" s="24">
        <f t="shared" si="2"/>
        <v>4908</v>
      </c>
      <c r="N78" s="25">
        <f t="shared" si="3"/>
        <v>125644800</v>
      </c>
      <c r="P78" s="26"/>
      <c r="Q78" s="26"/>
      <c r="R78" s="26"/>
    </row>
    <row r="79" spans="1:18" x14ac:dyDescent="0.2">
      <c r="A79" s="7" t="s">
        <v>29</v>
      </c>
      <c r="B79" s="7" t="s">
        <v>48</v>
      </c>
      <c r="C79" s="7">
        <v>23000378</v>
      </c>
      <c r="D79" s="7">
        <v>34</v>
      </c>
      <c r="E79" s="8" t="s">
        <v>137</v>
      </c>
      <c r="F79" s="7" t="s">
        <v>93</v>
      </c>
      <c r="G79" s="9">
        <v>5.67</v>
      </c>
      <c r="H79" s="9">
        <v>150</v>
      </c>
      <c r="I79" s="7" t="s">
        <v>222</v>
      </c>
      <c r="J79" s="7" t="s">
        <v>49</v>
      </c>
      <c r="K79" s="10">
        <v>44985</v>
      </c>
      <c r="M79" s="24">
        <f t="shared" si="2"/>
        <v>850.5</v>
      </c>
      <c r="N79" s="25">
        <f t="shared" si="3"/>
        <v>21772800</v>
      </c>
      <c r="P79" s="26"/>
      <c r="Q79" s="26"/>
      <c r="R79" s="26"/>
    </row>
    <row r="80" spans="1:18" x14ac:dyDescent="0.2">
      <c r="A80" s="7" t="s">
        <v>29</v>
      </c>
      <c r="B80" s="7" t="s">
        <v>48</v>
      </c>
      <c r="C80" s="7">
        <v>23000378</v>
      </c>
      <c r="D80" s="7">
        <v>31</v>
      </c>
      <c r="E80" s="8" t="s">
        <v>193</v>
      </c>
      <c r="F80" s="7" t="s">
        <v>145</v>
      </c>
      <c r="G80" s="9">
        <v>6.23</v>
      </c>
      <c r="H80" s="9">
        <v>10</v>
      </c>
      <c r="I80" s="7" t="s">
        <v>222</v>
      </c>
      <c r="J80" s="7" t="s">
        <v>8</v>
      </c>
      <c r="K80" s="10">
        <v>44985</v>
      </c>
      <c r="M80" s="24">
        <f t="shared" si="2"/>
        <v>62.300000000000004</v>
      </c>
      <c r="N80" s="25">
        <f t="shared" si="3"/>
        <v>1594880</v>
      </c>
      <c r="P80" s="26"/>
      <c r="Q80" s="26"/>
      <c r="R80" s="26"/>
    </row>
    <row r="81" spans="1:18" x14ac:dyDescent="0.2">
      <c r="A81" s="7" t="s">
        <v>29</v>
      </c>
      <c r="B81" s="7" t="s">
        <v>48</v>
      </c>
      <c r="C81" s="7">
        <v>24000220</v>
      </c>
      <c r="D81" s="7">
        <v>3</v>
      </c>
      <c r="E81" s="8" t="s">
        <v>74</v>
      </c>
      <c r="F81" s="7" t="s">
        <v>260</v>
      </c>
      <c r="G81" s="9">
        <v>6.47</v>
      </c>
      <c r="H81" s="9">
        <v>50</v>
      </c>
      <c r="I81" s="7" t="s">
        <v>222</v>
      </c>
      <c r="J81" s="7" t="s">
        <v>132</v>
      </c>
      <c r="K81" s="10">
        <v>45313</v>
      </c>
      <c r="M81" s="24">
        <f t="shared" si="2"/>
        <v>323.5</v>
      </c>
      <c r="N81" s="25">
        <f t="shared" si="3"/>
        <v>8281600</v>
      </c>
      <c r="P81" s="26"/>
      <c r="Q81" s="26"/>
      <c r="R81" s="26"/>
    </row>
    <row r="82" spans="1:18" x14ac:dyDescent="0.2">
      <c r="A82" s="7" t="s">
        <v>29</v>
      </c>
      <c r="B82" s="7" t="s">
        <v>48</v>
      </c>
      <c r="C82" s="7">
        <v>24000440</v>
      </c>
      <c r="D82" s="7">
        <v>5</v>
      </c>
      <c r="E82" s="8" t="s">
        <v>15</v>
      </c>
      <c r="F82" s="7" t="s">
        <v>178</v>
      </c>
      <c r="G82" s="9">
        <v>10.25</v>
      </c>
      <c r="H82" s="9">
        <v>27</v>
      </c>
      <c r="I82" s="7" t="s">
        <v>222</v>
      </c>
      <c r="J82" s="7" t="s">
        <v>216</v>
      </c>
      <c r="K82" s="10">
        <v>45344</v>
      </c>
      <c r="M82" s="24">
        <f t="shared" si="2"/>
        <v>276.75</v>
      </c>
      <c r="N82" s="25">
        <f t="shared" si="3"/>
        <v>7084800</v>
      </c>
      <c r="P82" s="26"/>
      <c r="Q82" s="26"/>
      <c r="R82" s="26"/>
    </row>
    <row r="83" spans="1:18" x14ac:dyDescent="0.2">
      <c r="A83" s="7" t="s">
        <v>29</v>
      </c>
      <c r="B83" s="7" t="s">
        <v>48</v>
      </c>
      <c r="C83" s="7">
        <v>23002601</v>
      </c>
      <c r="D83" s="7">
        <v>11</v>
      </c>
      <c r="E83" s="8" t="s">
        <v>230</v>
      </c>
      <c r="F83" s="7" t="s">
        <v>274</v>
      </c>
      <c r="G83" s="9">
        <v>8.9</v>
      </c>
      <c r="H83" s="9">
        <v>32</v>
      </c>
      <c r="I83" s="7" t="s">
        <v>222</v>
      </c>
      <c r="J83" s="7" t="s">
        <v>10</v>
      </c>
      <c r="K83" s="10">
        <v>45231</v>
      </c>
      <c r="M83" s="24">
        <f t="shared" si="2"/>
        <v>284.8</v>
      </c>
      <c r="N83" s="25">
        <f t="shared" si="3"/>
        <v>7290880</v>
      </c>
      <c r="P83" s="26"/>
      <c r="Q83" s="26"/>
      <c r="R83" s="26"/>
    </row>
    <row r="84" spans="1:18" x14ac:dyDescent="0.2">
      <c r="A84" s="7" t="s">
        <v>29</v>
      </c>
      <c r="B84" s="7" t="s">
        <v>48</v>
      </c>
      <c r="C84" s="7">
        <v>23000378</v>
      </c>
      <c r="D84" s="7">
        <v>32</v>
      </c>
      <c r="E84" s="8" t="s">
        <v>98</v>
      </c>
      <c r="F84" s="7" t="s">
        <v>40</v>
      </c>
      <c r="G84" s="9">
        <v>11.04</v>
      </c>
      <c r="H84" s="9">
        <v>360</v>
      </c>
      <c r="I84" s="7" t="s">
        <v>222</v>
      </c>
      <c r="J84" s="7" t="s">
        <v>83</v>
      </c>
      <c r="K84" s="10">
        <v>44985</v>
      </c>
      <c r="M84" s="24">
        <f t="shared" si="2"/>
        <v>3974.3999999999996</v>
      </c>
      <c r="N84" s="25">
        <f t="shared" si="3"/>
        <v>101744639.99999999</v>
      </c>
      <c r="P84" s="26"/>
      <c r="Q84" s="26"/>
      <c r="R84" s="26"/>
    </row>
    <row r="85" spans="1:18" x14ac:dyDescent="0.2">
      <c r="A85" s="7" t="s">
        <v>29</v>
      </c>
      <c r="B85" s="7" t="s">
        <v>48</v>
      </c>
      <c r="C85" s="7">
        <v>24000062</v>
      </c>
      <c r="D85" s="7">
        <v>3</v>
      </c>
      <c r="E85" s="8" t="s">
        <v>248</v>
      </c>
      <c r="F85" s="7" t="s">
        <v>174</v>
      </c>
      <c r="G85" s="9">
        <v>12.1</v>
      </c>
      <c r="H85" s="9">
        <v>100</v>
      </c>
      <c r="I85" s="7" t="s">
        <v>222</v>
      </c>
      <c r="J85" s="7" t="s">
        <v>82</v>
      </c>
      <c r="K85" s="10">
        <v>45299</v>
      </c>
      <c r="M85" s="24">
        <f t="shared" si="2"/>
        <v>1210</v>
      </c>
      <c r="N85" s="25">
        <f t="shared" si="3"/>
        <v>30976000</v>
      </c>
      <c r="P85" s="26"/>
      <c r="Q85" s="26"/>
      <c r="R85" s="26"/>
    </row>
    <row r="86" spans="1:18" x14ac:dyDescent="0.2">
      <c r="A86" s="7" t="s">
        <v>29</v>
      </c>
      <c r="B86" s="7" t="s">
        <v>48</v>
      </c>
      <c r="C86" s="7">
        <v>24000440</v>
      </c>
      <c r="D86" s="7">
        <v>10</v>
      </c>
      <c r="E86" s="8" t="s">
        <v>61</v>
      </c>
      <c r="F86" s="7" t="s">
        <v>127</v>
      </c>
      <c r="G86" s="9">
        <v>12.92</v>
      </c>
      <c r="H86" s="9">
        <v>124</v>
      </c>
      <c r="I86" s="7" t="s">
        <v>222</v>
      </c>
      <c r="J86" s="7" t="s">
        <v>244</v>
      </c>
      <c r="K86" s="10">
        <v>45344</v>
      </c>
      <c r="M86" s="24">
        <f t="shared" si="2"/>
        <v>1602.08</v>
      </c>
      <c r="N86" s="25">
        <f t="shared" si="3"/>
        <v>41013248</v>
      </c>
      <c r="P86" s="26"/>
      <c r="Q86" s="26"/>
      <c r="R86" s="26"/>
    </row>
    <row r="87" spans="1:18" x14ac:dyDescent="0.2">
      <c r="A87" s="7" t="s">
        <v>29</v>
      </c>
      <c r="B87" s="7" t="s">
        <v>48</v>
      </c>
      <c r="C87" s="7">
        <v>23000378</v>
      </c>
      <c r="D87" s="7">
        <v>25</v>
      </c>
      <c r="E87" s="8" t="s">
        <v>143</v>
      </c>
      <c r="F87" s="7" t="s">
        <v>72</v>
      </c>
      <c r="G87" s="9">
        <v>8.1199999999999992</v>
      </c>
      <c r="H87" s="9">
        <v>10</v>
      </c>
      <c r="I87" s="7" t="s">
        <v>262</v>
      </c>
      <c r="J87" s="7" t="s">
        <v>138</v>
      </c>
      <c r="K87" s="10">
        <v>44985</v>
      </c>
      <c r="M87" s="24">
        <f t="shared" si="2"/>
        <v>81.199999999999989</v>
      </c>
      <c r="N87" s="25">
        <f t="shared" si="3"/>
        <v>2078719.9999999998</v>
      </c>
      <c r="P87" s="26"/>
      <c r="Q87" s="26"/>
      <c r="R87" s="26"/>
    </row>
    <row r="88" spans="1:18" x14ac:dyDescent="0.2">
      <c r="A88" s="7" t="s">
        <v>29</v>
      </c>
      <c r="B88" s="7" t="s">
        <v>48</v>
      </c>
      <c r="C88" s="7">
        <v>24000220</v>
      </c>
      <c r="D88" s="7">
        <v>4</v>
      </c>
      <c r="E88" s="8" t="s">
        <v>54</v>
      </c>
      <c r="F88" s="7" t="s">
        <v>148</v>
      </c>
      <c r="G88" s="9">
        <v>11.24</v>
      </c>
      <c r="H88" s="9">
        <v>24</v>
      </c>
      <c r="I88" s="7" t="s">
        <v>222</v>
      </c>
      <c r="J88" s="7" t="s">
        <v>60</v>
      </c>
      <c r="K88" s="10">
        <v>45313</v>
      </c>
      <c r="M88" s="24">
        <f t="shared" si="2"/>
        <v>269.76</v>
      </c>
      <c r="N88" s="25">
        <f t="shared" si="3"/>
        <v>6905856</v>
      </c>
      <c r="P88" s="26"/>
      <c r="Q88" s="26"/>
      <c r="R88" s="26"/>
    </row>
    <row r="89" spans="1:18" x14ac:dyDescent="0.2">
      <c r="A89" s="7" t="s">
        <v>29</v>
      </c>
      <c r="B89" s="7" t="s">
        <v>48</v>
      </c>
      <c r="C89" s="7">
        <v>24002125</v>
      </c>
      <c r="D89" s="7">
        <v>4</v>
      </c>
      <c r="E89" s="8" t="s">
        <v>146</v>
      </c>
      <c r="F89" s="7" t="s">
        <v>21</v>
      </c>
      <c r="G89" s="9">
        <v>18.18</v>
      </c>
      <c r="H89" s="9">
        <v>30</v>
      </c>
      <c r="I89" s="7" t="s">
        <v>222</v>
      </c>
      <c r="J89" s="7" t="s">
        <v>53</v>
      </c>
      <c r="K89" s="10">
        <v>45476</v>
      </c>
      <c r="M89" s="24">
        <f t="shared" si="2"/>
        <v>545.4</v>
      </c>
      <c r="N89" s="25">
        <f t="shared" si="3"/>
        <v>13962240</v>
      </c>
      <c r="P89" s="26"/>
      <c r="Q89" s="26"/>
      <c r="R89" s="26"/>
    </row>
    <row r="90" spans="1:18" x14ac:dyDescent="0.2">
      <c r="A90" s="7" t="s">
        <v>29</v>
      </c>
      <c r="B90" s="7" t="s">
        <v>48</v>
      </c>
      <c r="C90" s="7">
        <v>24000440</v>
      </c>
      <c r="D90" s="7">
        <v>6</v>
      </c>
      <c r="E90" s="8" t="s">
        <v>226</v>
      </c>
      <c r="F90" s="7" t="s">
        <v>229</v>
      </c>
      <c r="G90" s="9">
        <v>11.8</v>
      </c>
      <c r="H90" s="9">
        <v>40</v>
      </c>
      <c r="I90" s="7" t="s">
        <v>222</v>
      </c>
      <c r="J90" s="7" t="s">
        <v>204</v>
      </c>
      <c r="K90" s="10">
        <v>45344</v>
      </c>
      <c r="M90" s="24">
        <f t="shared" si="2"/>
        <v>472</v>
      </c>
      <c r="N90" s="25">
        <f t="shared" si="3"/>
        <v>12083200</v>
      </c>
      <c r="P90" s="26"/>
      <c r="Q90" s="26"/>
      <c r="R90" s="26"/>
    </row>
    <row r="91" spans="1:18" x14ac:dyDescent="0.2">
      <c r="A91" s="7" t="s">
        <v>29</v>
      </c>
      <c r="B91" s="7" t="s">
        <v>48</v>
      </c>
      <c r="C91" s="7">
        <v>23000378</v>
      </c>
      <c r="D91" s="7">
        <v>22</v>
      </c>
      <c r="E91" s="8" t="s">
        <v>39</v>
      </c>
      <c r="F91" s="7" t="s">
        <v>52</v>
      </c>
      <c r="G91" s="9">
        <v>10.199999999999999</v>
      </c>
      <c r="H91" s="9">
        <v>40</v>
      </c>
      <c r="I91" s="7" t="s">
        <v>222</v>
      </c>
      <c r="J91" s="7" t="s">
        <v>255</v>
      </c>
      <c r="K91" s="10">
        <v>44985</v>
      </c>
      <c r="M91" s="24">
        <f t="shared" si="2"/>
        <v>408</v>
      </c>
      <c r="N91" s="25">
        <f t="shared" si="3"/>
        <v>10444800</v>
      </c>
      <c r="P91" s="26"/>
      <c r="Q91" s="26"/>
      <c r="R91" s="26"/>
    </row>
    <row r="92" spans="1:18" x14ac:dyDescent="0.2">
      <c r="A92" s="7" t="s">
        <v>29</v>
      </c>
      <c r="B92" s="7" t="s">
        <v>48</v>
      </c>
      <c r="C92" s="7">
        <v>24000440</v>
      </c>
      <c r="D92" s="7">
        <v>4</v>
      </c>
      <c r="E92" s="8" t="s">
        <v>154</v>
      </c>
      <c r="F92" s="7" t="s">
        <v>212</v>
      </c>
      <c r="G92" s="9">
        <v>17.850000000000001</v>
      </c>
      <c r="H92" s="9">
        <v>28</v>
      </c>
      <c r="I92" s="7" t="s">
        <v>222</v>
      </c>
      <c r="J92" s="7" t="s">
        <v>63</v>
      </c>
      <c r="K92" s="10">
        <v>45344</v>
      </c>
      <c r="M92" s="24">
        <f t="shared" si="2"/>
        <v>499.80000000000007</v>
      </c>
      <c r="N92" s="25">
        <f t="shared" si="3"/>
        <v>12794880.000000002</v>
      </c>
      <c r="P92" s="26"/>
      <c r="Q92" s="26"/>
      <c r="R92" s="26"/>
    </row>
    <row r="93" spans="1:18" x14ac:dyDescent="0.2">
      <c r="A93" s="7" t="s">
        <v>176</v>
      </c>
      <c r="B93" s="7" t="s">
        <v>50</v>
      </c>
      <c r="C93" s="7">
        <v>24002559</v>
      </c>
      <c r="D93" s="7">
        <v>1</v>
      </c>
      <c r="E93" s="8" t="s">
        <v>68</v>
      </c>
      <c r="F93" s="7" t="s">
        <v>177</v>
      </c>
      <c r="G93" s="9">
        <v>10.23</v>
      </c>
      <c r="H93" s="9">
        <v>200</v>
      </c>
      <c r="I93" s="7" t="s">
        <v>220</v>
      </c>
      <c r="J93" s="7" t="s">
        <v>161</v>
      </c>
      <c r="K93" s="10">
        <v>45504</v>
      </c>
      <c r="M93" s="24">
        <f t="shared" si="2"/>
        <v>2046</v>
      </c>
      <c r="N93" s="25">
        <f t="shared" si="3"/>
        <v>52377600</v>
      </c>
      <c r="P93" s="26"/>
      <c r="Q93" s="26"/>
      <c r="R93" s="26"/>
    </row>
    <row r="94" spans="1:18" x14ac:dyDescent="0.2">
      <c r="A94" s="7" t="s">
        <v>29</v>
      </c>
      <c r="B94" s="7" t="s">
        <v>48</v>
      </c>
      <c r="C94" s="7">
        <v>24000923</v>
      </c>
      <c r="D94" s="7">
        <v>4</v>
      </c>
      <c r="E94" s="8" t="s">
        <v>46</v>
      </c>
      <c r="F94" s="7" t="s">
        <v>251</v>
      </c>
      <c r="G94" s="9">
        <v>2.98</v>
      </c>
      <c r="H94" s="9">
        <v>45</v>
      </c>
      <c r="I94" s="7" t="s">
        <v>222</v>
      </c>
      <c r="J94" s="7" t="s">
        <v>120</v>
      </c>
      <c r="K94" s="10">
        <v>45386</v>
      </c>
      <c r="M94" s="24">
        <f t="shared" si="2"/>
        <v>134.1</v>
      </c>
      <c r="N94" s="25">
        <f t="shared" si="3"/>
        <v>3432960</v>
      </c>
      <c r="P94" s="26"/>
      <c r="Q94" s="26"/>
      <c r="R94" s="26"/>
    </row>
    <row r="95" spans="1:18" x14ac:dyDescent="0.2">
      <c r="M95" s="28">
        <f>SUM(M2:M94)</f>
        <v>80322.730999999985</v>
      </c>
      <c r="N95" s="29">
        <f>SUM(N2:N94)</f>
        <v>2056261913.5999999</v>
      </c>
    </row>
  </sheetData>
  <autoFilter ref="A1:K6238" xr:uid="{13DDAE31-E164-4697-850F-D675BBDF5C9F}">
    <sortState xmlns:xlrd2="http://schemas.microsoft.com/office/spreadsheetml/2017/richdata2" ref="A2:K94">
      <sortCondition ref="E1:E6238"/>
    </sortState>
  </autoFilter>
  <conditionalFormatting sqref="E1:E1048576">
    <cfRule type="duplicateValues" dxfId="1" priority="2"/>
  </conditionalFormatting>
  <conditionalFormatting sqref="J1:J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A089-3883-4892-A965-7AAE3043347D}">
  <dimension ref="A1:G285"/>
  <sheetViews>
    <sheetView tabSelected="1" workbookViewId="0">
      <pane ySplit="1" topLeftCell="A218" activePane="bottomLeft" state="frozen"/>
      <selection pane="bottomLeft" activeCell="J240" sqref="J240"/>
    </sheetView>
  </sheetViews>
  <sheetFormatPr defaultRowHeight="12.75" x14ac:dyDescent="0.25"/>
  <cols>
    <col min="1" max="1" width="13.42578125" style="13" bestFit="1" customWidth="1"/>
    <col min="2" max="2" width="62.42578125" style="13" customWidth="1"/>
    <col min="3" max="3" width="9.42578125" style="18" bestFit="1" customWidth="1"/>
    <col min="4" max="4" width="8" style="13" customWidth="1"/>
    <col min="5" max="5" width="8.5703125" style="13" customWidth="1"/>
    <col min="6" max="6" width="14.5703125" style="13" bestFit="1" customWidth="1"/>
    <col min="7" max="7" width="24.7109375" style="13" customWidth="1"/>
    <col min="8" max="16384" width="9.140625" style="13"/>
  </cols>
  <sheetData>
    <row r="1" spans="1:7" x14ac:dyDescent="0.25">
      <c r="A1" s="12" t="s">
        <v>298</v>
      </c>
      <c r="B1" s="12" t="s">
        <v>109</v>
      </c>
      <c r="C1" s="16" t="s">
        <v>28</v>
      </c>
      <c r="D1" s="12" t="s">
        <v>299</v>
      </c>
      <c r="E1" s="12" t="s">
        <v>300</v>
      </c>
      <c r="F1" s="12" t="s">
        <v>970</v>
      </c>
      <c r="G1" s="12" t="s">
        <v>188</v>
      </c>
    </row>
    <row r="2" spans="1:7" x14ac:dyDescent="0.25">
      <c r="A2" s="14" t="s">
        <v>301</v>
      </c>
      <c r="B2" s="14" t="s">
        <v>302</v>
      </c>
      <c r="C2" s="17">
        <v>1900</v>
      </c>
      <c r="D2" s="15" t="s">
        <v>222</v>
      </c>
      <c r="E2" s="15">
        <v>0.38</v>
      </c>
      <c r="F2" s="19">
        <f>C2*E2</f>
        <v>722</v>
      </c>
      <c r="G2" s="14" t="s">
        <v>303</v>
      </c>
    </row>
    <row r="3" spans="1:7" x14ac:dyDescent="0.25">
      <c r="A3" s="14" t="s">
        <v>304</v>
      </c>
      <c r="B3" s="14" t="s">
        <v>305</v>
      </c>
      <c r="C3" s="17">
        <v>1600</v>
      </c>
      <c r="D3" s="15" t="s">
        <v>222</v>
      </c>
      <c r="E3" s="15">
        <v>0.94199999999999995</v>
      </c>
      <c r="F3" s="19">
        <f t="shared" ref="F3:F66" si="0">C3*E3</f>
        <v>1507.1999999999998</v>
      </c>
      <c r="G3" s="14" t="s">
        <v>306</v>
      </c>
    </row>
    <row r="4" spans="1:7" x14ac:dyDescent="0.25">
      <c r="A4" s="14" t="s">
        <v>307</v>
      </c>
      <c r="B4" s="14" t="s">
        <v>308</v>
      </c>
      <c r="C4" s="17">
        <v>1500</v>
      </c>
      <c r="D4" s="15" t="s">
        <v>222</v>
      </c>
      <c r="E4" s="15">
        <v>0.84</v>
      </c>
      <c r="F4" s="19">
        <f t="shared" si="0"/>
        <v>1260</v>
      </c>
      <c r="G4" s="14" t="s">
        <v>309</v>
      </c>
    </row>
    <row r="5" spans="1:7" x14ac:dyDescent="0.25">
      <c r="A5" s="14" t="s">
        <v>310</v>
      </c>
      <c r="B5" s="14" t="s">
        <v>302</v>
      </c>
      <c r="C5" s="17">
        <v>1300</v>
      </c>
      <c r="D5" s="15" t="s">
        <v>222</v>
      </c>
      <c r="E5" s="15">
        <v>0.46</v>
      </c>
      <c r="F5" s="19">
        <f t="shared" si="0"/>
        <v>598</v>
      </c>
      <c r="G5" s="14" t="s">
        <v>311</v>
      </c>
    </row>
    <row r="6" spans="1:7" x14ac:dyDescent="0.25">
      <c r="A6" s="14" t="s">
        <v>312</v>
      </c>
      <c r="B6" s="14" t="s">
        <v>313</v>
      </c>
      <c r="C6" s="17">
        <v>1200</v>
      </c>
      <c r="D6" s="15" t="s">
        <v>222</v>
      </c>
      <c r="E6" s="15">
        <v>0.17</v>
      </c>
      <c r="F6" s="19">
        <f t="shared" si="0"/>
        <v>204.00000000000003</v>
      </c>
      <c r="G6" s="14" t="s">
        <v>314</v>
      </c>
    </row>
    <row r="7" spans="1:7" x14ac:dyDescent="0.25">
      <c r="A7" s="14" t="s">
        <v>315</v>
      </c>
      <c r="B7" s="14" t="s">
        <v>302</v>
      </c>
      <c r="C7" s="17">
        <v>1150</v>
      </c>
      <c r="D7" s="15" t="s">
        <v>222</v>
      </c>
      <c r="E7" s="15">
        <v>0.48</v>
      </c>
      <c r="F7" s="19">
        <f t="shared" si="0"/>
        <v>552</v>
      </c>
      <c r="G7" s="14" t="s">
        <v>316</v>
      </c>
    </row>
    <row r="8" spans="1:7" x14ac:dyDescent="0.25">
      <c r="A8" s="14" t="s">
        <v>317</v>
      </c>
      <c r="B8" s="14" t="s">
        <v>318</v>
      </c>
      <c r="C8" s="17">
        <v>1120</v>
      </c>
      <c r="D8" s="15" t="s">
        <v>222</v>
      </c>
      <c r="E8" s="15">
        <v>0.216</v>
      </c>
      <c r="F8" s="19">
        <f t="shared" si="0"/>
        <v>241.92</v>
      </c>
      <c r="G8" s="14" t="s">
        <v>319</v>
      </c>
    </row>
    <row r="9" spans="1:7" x14ac:dyDescent="0.25">
      <c r="A9" s="14" t="s">
        <v>320</v>
      </c>
      <c r="B9" s="14" t="s">
        <v>321</v>
      </c>
      <c r="C9" s="17">
        <v>1000</v>
      </c>
      <c r="D9" s="15" t="s">
        <v>222</v>
      </c>
      <c r="E9" s="15">
        <v>0.61</v>
      </c>
      <c r="F9" s="19">
        <f t="shared" si="0"/>
        <v>610</v>
      </c>
      <c r="G9" s="14" t="s">
        <v>322</v>
      </c>
    </row>
    <row r="10" spans="1:7" x14ac:dyDescent="0.25">
      <c r="A10" s="14" t="s">
        <v>323</v>
      </c>
      <c r="B10" s="14" t="s">
        <v>305</v>
      </c>
      <c r="C10" s="17">
        <v>850</v>
      </c>
      <c r="D10" s="15" t="s">
        <v>222</v>
      </c>
      <c r="E10" s="15">
        <v>1.06</v>
      </c>
      <c r="F10" s="19">
        <f t="shared" si="0"/>
        <v>901</v>
      </c>
      <c r="G10" s="14" t="s">
        <v>324</v>
      </c>
    </row>
    <row r="11" spans="1:7" x14ac:dyDescent="0.25">
      <c r="A11" s="14" t="s">
        <v>325</v>
      </c>
      <c r="B11" s="14" t="s">
        <v>326</v>
      </c>
      <c r="C11" s="17">
        <v>850</v>
      </c>
      <c r="D11" s="15" t="s">
        <v>222</v>
      </c>
      <c r="E11" s="15">
        <v>1.036</v>
      </c>
      <c r="F11" s="19">
        <f t="shared" si="0"/>
        <v>880.6</v>
      </c>
      <c r="G11" s="14" t="s">
        <v>327</v>
      </c>
    </row>
    <row r="12" spans="1:7" x14ac:dyDescent="0.25">
      <c r="A12" s="14" t="s">
        <v>328</v>
      </c>
      <c r="B12" s="14" t="s">
        <v>308</v>
      </c>
      <c r="C12" s="17">
        <v>760</v>
      </c>
      <c r="D12" s="15" t="s">
        <v>222</v>
      </c>
      <c r="E12" s="15">
        <v>0.79500000000000004</v>
      </c>
      <c r="F12" s="19">
        <f t="shared" si="0"/>
        <v>604.20000000000005</v>
      </c>
      <c r="G12" s="14" t="s">
        <v>329</v>
      </c>
    </row>
    <row r="13" spans="1:7" x14ac:dyDescent="0.25">
      <c r="A13" s="14" t="s">
        <v>330</v>
      </c>
      <c r="B13" s="14" t="s">
        <v>305</v>
      </c>
      <c r="C13" s="17">
        <v>730</v>
      </c>
      <c r="D13" s="15" t="s">
        <v>222</v>
      </c>
      <c r="E13" s="15">
        <v>1.1000000000000001</v>
      </c>
      <c r="F13" s="19">
        <f t="shared" si="0"/>
        <v>803.00000000000011</v>
      </c>
      <c r="G13" s="14" t="s">
        <v>331</v>
      </c>
    </row>
    <row r="14" spans="1:7" x14ac:dyDescent="0.25">
      <c r="A14" s="14" t="s">
        <v>332</v>
      </c>
      <c r="B14" s="14" t="s">
        <v>318</v>
      </c>
      <c r="C14" s="17">
        <v>630</v>
      </c>
      <c r="D14" s="15" t="s">
        <v>222</v>
      </c>
      <c r="E14" s="15">
        <v>0.56699999999999995</v>
      </c>
      <c r="F14" s="19">
        <f t="shared" si="0"/>
        <v>357.21</v>
      </c>
      <c r="G14" s="14" t="s">
        <v>333</v>
      </c>
    </row>
    <row r="15" spans="1:7" x14ac:dyDescent="0.25">
      <c r="A15" s="14" t="s">
        <v>334</v>
      </c>
      <c r="B15" s="14" t="s">
        <v>335</v>
      </c>
      <c r="C15" s="17">
        <v>620</v>
      </c>
      <c r="D15" s="15" t="s">
        <v>222</v>
      </c>
      <c r="E15" s="15">
        <v>1.272</v>
      </c>
      <c r="F15" s="19">
        <f t="shared" si="0"/>
        <v>788.64</v>
      </c>
      <c r="G15" s="14" t="s">
        <v>336</v>
      </c>
    </row>
    <row r="16" spans="1:7" x14ac:dyDescent="0.25">
      <c r="A16" s="14" t="s">
        <v>337</v>
      </c>
      <c r="B16" s="14" t="s">
        <v>338</v>
      </c>
      <c r="C16" s="17">
        <v>570</v>
      </c>
      <c r="D16" s="15" t="s">
        <v>222</v>
      </c>
      <c r="E16" s="15">
        <v>3.0489999999999999</v>
      </c>
      <c r="F16" s="19">
        <f t="shared" si="0"/>
        <v>1737.93</v>
      </c>
      <c r="G16" s="14" t="s">
        <v>339</v>
      </c>
    </row>
    <row r="17" spans="1:7" x14ac:dyDescent="0.25">
      <c r="A17" s="14" t="s">
        <v>340</v>
      </c>
      <c r="B17" s="14" t="s">
        <v>341</v>
      </c>
      <c r="C17" s="17">
        <v>560</v>
      </c>
      <c r="D17" s="15" t="s">
        <v>222</v>
      </c>
      <c r="E17" s="15">
        <v>1.93</v>
      </c>
      <c r="F17" s="19">
        <f t="shared" si="0"/>
        <v>1080.8</v>
      </c>
      <c r="G17" s="14" t="s">
        <v>342</v>
      </c>
    </row>
    <row r="18" spans="1:7" x14ac:dyDescent="0.25">
      <c r="A18" s="14" t="s">
        <v>343</v>
      </c>
      <c r="B18" s="14" t="s">
        <v>344</v>
      </c>
      <c r="C18" s="17">
        <v>560</v>
      </c>
      <c r="D18" s="15" t="s">
        <v>222</v>
      </c>
      <c r="E18" s="15">
        <v>0.85599999999999998</v>
      </c>
      <c r="F18" s="19">
        <f t="shared" si="0"/>
        <v>479.36</v>
      </c>
      <c r="G18" s="14" t="s">
        <v>345</v>
      </c>
    </row>
    <row r="19" spans="1:7" x14ac:dyDescent="0.25">
      <c r="A19" s="14" t="s">
        <v>346</v>
      </c>
      <c r="B19" s="14" t="s">
        <v>302</v>
      </c>
      <c r="C19" s="17">
        <v>550</v>
      </c>
      <c r="D19" s="15" t="s">
        <v>222</v>
      </c>
      <c r="E19" s="15">
        <v>0.39200000000000002</v>
      </c>
      <c r="F19" s="19">
        <f t="shared" si="0"/>
        <v>215.6</v>
      </c>
      <c r="G19" s="14" t="s">
        <v>347</v>
      </c>
    </row>
    <row r="20" spans="1:7" x14ac:dyDescent="0.25">
      <c r="A20" s="14" t="s">
        <v>348</v>
      </c>
      <c r="B20" s="14" t="s">
        <v>349</v>
      </c>
      <c r="C20" s="17">
        <v>550</v>
      </c>
      <c r="D20" s="15" t="s">
        <v>222</v>
      </c>
      <c r="E20" s="15">
        <v>1.4219999999999999</v>
      </c>
      <c r="F20" s="19">
        <f t="shared" si="0"/>
        <v>782.09999999999991</v>
      </c>
      <c r="G20" s="14" t="s">
        <v>350</v>
      </c>
    </row>
    <row r="21" spans="1:7" x14ac:dyDescent="0.25">
      <c r="A21" s="14" t="s">
        <v>351</v>
      </c>
      <c r="B21" s="14" t="s">
        <v>352</v>
      </c>
      <c r="C21" s="17">
        <v>520</v>
      </c>
      <c r="D21" s="15" t="s">
        <v>222</v>
      </c>
      <c r="E21" s="15">
        <v>1.3420000000000001</v>
      </c>
      <c r="F21" s="19">
        <f t="shared" si="0"/>
        <v>697.84</v>
      </c>
      <c r="G21" s="14" t="s">
        <v>353</v>
      </c>
    </row>
    <row r="22" spans="1:7" x14ac:dyDescent="0.25">
      <c r="A22" s="14" t="s">
        <v>354</v>
      </c>
      <c r="B22" s="14" t="s">
        <v>305</v>
      </c>
      <c r="C22" s="17">
        <v>500</v>
      </c>
      <c r="D22" s="15" t="s">
        <v>222</v>
      </c>
      <c r="E22" s="15">
        <v>2.35</v>
      </c>
      <c r="F22" s="19">
        <f t="shared" si="0"/>
        <v>1175</v>
      </c>
      <c r="G22" s="14" t="s">
        <v>355</v>
      </c>
    </row>
    <row r="23" spans="1:7" x14ac:dyDescent="0.25">
      <c r="A23" s="14" t="s">
        <v>356</v>
      </c>
      <c r="B23" s="14" t="s">
        <v>357</v>
      </c>
      <c r="C23" s="17">
        <v>500</v>
      </c>
      <c r="D23" s="15" t="s">
        <v>222</v>
      </c>
      <c r="E23" s="15">
        <v>0.8</v>
      </c>
      <c r="F23" s="19">
        <f t="shared" si="0"/>
        <v>400</v>
      </c>
      <c r="G23" s="14" t="s">
        <v>358</v>
      </c>
    </row>
    <row r="24" spans="1:7" x14ac:dyDescent="0.25">
      <c r="A24" s="14" t="s">
        <v>359</v>
      </c>
      <c r="B24" s="14" t="s">
        <v>302</v>
      </c>
      <c r="C24" s="17">
        <v>480</v>
      </c>
      <c r="D24" s="15" t="s">
        <v>222</v>
      </c>
      <c r="E24" s="15">
        <v>0.6</v>
      </c>
      <c r="F24" s="19">
        <f t="shared" si="0"/>
        <v>288</v>
      </c>
      <c r="G24" s="14" t="s">
        <v>360</v>
      </c>
    </row>
    <row r="25" spans="1:7" x14ac:dyDescent="0.25">
      <c r="A25" s="14" t="s">
        <v>361</v>
      </c>
      <c r="B25" s="14" t="s">
        <v>305</v>
      </c>
      <c r="C25" s="17">
        <v>480</v>
      </c>
      <c r="D25" s="15" t="s">
        <v>222</v>
      </c>
      <c r="E25" s="15">
        <v>1.825</v>
      </c>
      <c r="F25" s="19">
        <f t="shared" si="0"/>
        <v>876</v>
      </c>
      <c r="G25" s="14" t="s">
        <v>362</v>
      </c>
    </row>
    <row r="26" spans="1:7" x14ac:dyDescent="0.25">
      <c r="A26" s="14" t="s">
        <v>363</v>
      </c>
      <c r="B26" s="14" t="s">
        <v>364</v>
      </c>
      <c r="C26" s="17">
        <v>480</v>
      </c>
      <c r="D26" s="15" t="s">
        <v>222</v>
      </c>
      <c r="E26" s="15">
        <v>0.26200000000000001</v>
      </c>
      <c r="F26" s="19">
        <f t="shared" si="0"/>
        <v>125.76</v>
      </c>
      <c r="G26" s="14" t="s">
        <v>365</v>
      </c>
    </row>
    <row r="27" spans="1:7" x14ac:dyDescent="0.25">
      <c r="A27" s="14" t="s">
        <v>366</v>
      </c>
      <c r="B27" s="14" t="s">
        <v>305</v>
      </c>
      <c r="C27" s="17">
        <v>470</v>
      </c>
      <c r="D27" s="15" t="s">
        <v>222</v>
      </c>
      <c r="E27" s="15">
        <v>0.91200000000000003</v>
      </c>
      <c r="F27" s="19">
        <f t="shared" si="0"/>
        <v>428.64000000000004</v>
      </c>
      <c r="G27" s="14" t="s">
        <v>367</v>
      </c>
    </row>
    <row r="28" spans="1:7" x14ac:dyDescent="0.25">
      <c r="A28" s="14" t="s">
        <v>368</v>
      </c>
      <c r="B28" s="14" t="s">
        <v>369</v>
      </c>
      <c r="C28" s="17">
        <v>450</v>
      </c>
      <c r="D28" s="15" t="s">
        <v>222</v>
      </c>
      <c r="E28" s="15">
        <v>0.32</v>
      </c>
      <c r="F28" s="19">
        <f t="shared" si="0"/>
        <v>144</v>
      </c>
      <c r="G28" s="14" t="s">
        <v>370</v>
      </c>
    </row>
    <row r="29" spans="1:7" x14ac:dyDescent="0.25">
      <c r="A29" s="14" t="s">
        <v>371</v>
      </c>
      <c r="B29" s="14" t="s">
        <v>372</v>
      </c>
      <c r="C29" s="17">
        <v>440</v>
      </c>
      <c r="D29" s="15" t="s">
        <v>222</v>
      </c>
      <c r="E29" s="15">
        <v>0.749</v>
      </c>
      <c r="F29" s="19">
        <f t="shared" si="0"/>
        <v>329.56</v>
      </c>
      <c r="G29" s="14" t="s">
        <v>373</v>
      </c>
    </row>
    <row r="30" spans="1:7" x14ac:dyDescent="0.25">
      <c r="A30" s="14" t="s">
        <v>374</v>
      </c>
      <c r="B30" s="14" t="s">
        <v>375</v>
      </c>
      <c r="C30" s="17">
        <v>420</v>
      </c>
      <c r="D30" s="15" t="s">
        <v>222</v>
      </c>
      <c r="E30" s="15">
        <v>1.772</v>
      </c>
      <c r="F30" s="19">
        <f t="shared" si="0"/>
        <v>744.24</v>
      </c>
      <c r="G30" s="14" t="s">
        <v>376</v>
      </c>
    </row>
    <row r="31" spans="1:7" x14ac:dyDescent="0.25">
      <c r="A31" s="14" t="s">
        <v>377</v>
      </c>
      <c r="B31" s="14" t="s">
        <v>378</v>
      </c>
      <c r="C31" s="17">
        <v>420</v>
      </c>
      <c r="D31" s="15" t="s">
        <v>222</v>
      </c>
      <c r="E31" s="15">
        <v>0.154</v>
      </c>
      <c r="F31" s="19">
        <f t="shared" si="0"/>
        <v>64.679999999999993</v>
      </c>
      <c r="G31" s="14" t="s">
        <v>379</v>
      </c>
    </row>
    <row r="32" spans="1:7" x14ac:dyDescent="0.25">
      <c r="A32" s="14" t="s">
        <v>380</v>
      </c>
      <c r="B32" s="14" t="s">
        <v>381</v>
      </c>
      <c r="C32" s="17">
        <v>400</v>
      </c>
      <c r="D32" s="15" t="s">
        <v>222</v>
      </c>
      <c r="E32" s="15">
        <v>0.64200000000000002</v>
      </c>
      <c r="F32" s="19">
        <f t="shared" si="0"/>
        <v>256.8</v>
      </c>
      <c r="G32" s="14" t="s">
        <v>382</v>
      </c>
    </row>
    <row r="33" spans="1:7" x14ac:dyDescent="0.25">
      <c r="A33" s="14" t="s">
        <v>383</v>
      </c>
      <c r="B33" s="14" t="s">
        <v>384</v>
      </c>
      <c r="C33" s="17">
        <v>400</v>
      </c>
      <c r="D33" s="15" t="s">
        <v>222</v>
      </c>
      <c r="E33" s="15">
        <v>0.56200000000000006</v>
      </c>
      <c r="F33" s="19">
        <f t="shared" si="0"/>
        <v>224.8</v>
      </c>
      <c r="G33" s="14" t="s">
        <v>385</v>
      </c>
    </row>
    <row r="34" spans="1:7" x14ac:dyDescent="0.25">
      <c r="A34" s="14" t="s">
        <v>386</v>
      </c>
      <c r="B34" s="14" t="s">
        <v>305</v>
      </c>
      <c r="C34" s="17">
        <v>380</v>
      </c>
      <c r="D34" s="15" t="s">
        <v>222</v>
      </c>
      <c r="E34" s="15">
        <v>0.54</v>
      </c>
      <c r="F34" s="19">
        <f t="shared" si="0"/>
        <v>205.20000000000002</v>
      </c>
      <c r="G34" s="14" t="s">
        <v>387</v>
      </c>
    </row>
    <row r="35" spans="1:7" x14ac:dyDescent="0.25">
      <c r="A35" s="14" t="s">
        <v>388</v>
      </c>
      <c r="B35" s="14" t="s">
        <v>389</v>
      </c>
      <c r="C35" s="17">
        <v>370</v>
      </c>
      <c r="D35" s="15" t="s">
        <v>222</v>
      </c>
      <c r="E35" s="15">
        <v>0.99</v>
      </c>
      <c r="F35" s="19">
        <f t="shared" si="0"/>
        <v>366.3</v>
      </c>
      <c r="G35" s="14" t="s">
        <v>390</v>
      </c>
    </row>
    <row r="36" spans="1:7" x14ac:dyDescent="0.25">
      <c r="A36" s="14" t="s">
        <v>391</v>
      </c>
      <c r="B36" s="14" t="s">
        <v>302</v>
      </c>
      <c r="C36" s="17">
        <v>360</v>
      </c>
      <c r="D36" s="15" t="s">
        <v>222</v>
      </c>
      <c r="E36" s="15">
        <v>0.48799999999999999</v>
      </c>
      <c r="F36" s="19">
        <f t="shared" si="0"/>
        <v>175.68</v>
      </c>
      <c r="G36" s="14" t="s">
        <v>392</v>
      </c>
    </row>
    <row r="37" spans="1:7" x14ac:dyDescent="0.25">
      <c r="A37" s="14" t="s">
        <v>393</v>
      </c>
      <c r="B37" s="14" t="s">
        <v>308</v>
      </c>
      <c r="C37" s="17">
        <v>360</v>
      </c>
      <c r="D37" s="15" t="s">
        <v>222</v>
      </c>
      <c r="E37" s="15">
        <v>1.6619999999999999</v>
      </c>
      <c r="F37" s="19">
        <f t="shared" si="0"/>
        <v>598.31999999999994</v>
      </c>
      <c r="G37" s="14" t="s">
        <v>394</v>
      </c>
    </row>
    <row r="38" spans="1:7" x14ac:dyDescent="0.25">
      <c r="A38" s="14" t="s">
        <v>395</v>
      </c>
      <c r="B38" s="14" t="s">
        <v>396</v>
      </c>
      <c r="C38" s="17">
        <v>350</v>
      </c>
      <c r="D38" s="15" t="s">
        <v>222</v>
      </c>
      <c r="E38" s="15">
        <v>1.0329999999999999</v>
      </c>
      <c r="F38" s="19">
        <f t="shared" si="0"/>
        <v>361.54999999999995</v>
      </c>
      <c r="G38" s="14" t="s">
        <v>397</v>
      </c>
    </row>
    <row r="39" spans="1:7" x14ac:dyDescent="0.25">
      <c r="A39" s="14" t="s">
        <v>398</v>
      </c>
      <c r="B39" s="14" t="s">
        <v>341</v>
      </c>
      <c r="C39" s="17">
        <v>350</v>
      </c>
      <c r="D39" s="15" t="s">
        <v>222</v>
      </c>
      <c r="E39" s="15">
        <v>0.872</v>
      </c>
      <c r="F39" s="19">
        <f t="shared" si="0"/>
        <v>305.2</v>
      </c>
      <c r="G39" s="14" t="s">
        <v>399</v>
      </c>
    </row>
    <row r="40" spans="1:7" x14ac:dyDescent="0.25">
      <c r="A40" s="14" t="s">
        <v>400</v>
      </c>
      <c r="B40" s="14" t="s">
        <v>341</v>
      </c>
      <c r="C40" s="17">
        <v>350</v>
      </c>
      <c r="D40" s="15" t="s">
        <v>222</v>
      </c>
      <c r="E40" s="15">
        <v>1.08</v>
      </c>
      <c r="F40" s="19">
        <f t="shared" si="0"/>
        <v>378</v>
      </c>
      <c r="G40" s="14" t="s">
        <v>401</v>
      </c>
    </row>
    <row r="41" spans="1:7" x14ac:dyDescent="0.25">
      <c r="A41" s="14" t="s">
        <v>402</v>
      </c>
      <c r="B41" s="14" t="s">
        <v>403</v>
      </c>
      <c r="C41" s="17">
        <v>350</v>
      </c>
      <c r="D41" s="15" t="s">
        <v>222</v>
      </c>
      <c r="E41" s="15">
        <v>1.3140000000000001</v>
      </c>
      <c r="F41" s="19">
        <f t="shared" si="0"/>
        <v>459.90000000000003</v>
      </c>
      <c r="G41" s="14" t="s">
        <v>404</v>
      </c>
    </row>
    <row r="42" spans="1:7" x14ac:dyDescent="0.25">
      <c r="A42" s="14" t="s">
        <v>405</v>
      </c>
      <c r="B42" s="14" t="s">
        <v>313</v>
      </c>
      <c r="C42" s="17">
        <v>350</v>
      </c>
      <c r="D42" s="15" t="s">
        <v>222</v>
      </c>
      <c r="E42" s="15">
        <v>0.21099999999999999</v>
      </c>
      <c r="F42" s="19">
        <f t="shared" si="0"/>
        <v>73.849999999999994</v>
      </c>
      <c r="G42" s="14" t="s">
        <v>406</v>
      </c>
    </row>
    <row r="43" spans="1:7" x14ac:dyDescent="0.25">
      <c r="A43" s="14" t="s">
        <v>407</v>
      </c>
      <c r="B43" s="14" t="s">
        <v>302</v>
      </c>
      <c r="C43" s="17">
        <v>330</v>
      </c>
      <c r="D43" s="15" t="s">
        <v>222</v>
      </c>
      <c r="E43" s="15">
        <v>0.84099999999999997</v>
      </c>
      <c r="F43" s="19">
        <f t="shared" si="0"/>
        <v>277.52999999999997</v>
      </c>
      <c r="G43" s="14" t="s">
        <v>408</v>
      </c>
    </row>
    <row r="44" spans="1:7" x14ac:dyDescent="0.25">
      <c r="A44" s="14" t="s">
        <v>409</v>
      </c>
      <c r="B44" s="14" t="s">
        <v>305</v>
      </c>
      <c r="C44" s="17">
        <v>320</v>
      </c>
      <c r="D44" s="15" t="s">
        <v>222</v>
      </c>
      <c r="E44" s="15">
        <v>1.667</v>
      </c>
      <c r="F44" s="19">
        <f t="shared" si="0"/>
        <v>533.44000000000005</v>
      </c>
      <c r="G44" s="14" t="s">
        <v>410</v>
      </c>
    </row>
    <row r="45" spans="1:7" x14ac:dyDescent="0.25">
      <c r="A45" s="14" t="s">
        <v>411</v>
      </c>
      <c r="B45" s="14" t="s">
        <v>412</v>
      </c>
      <c r="C45" s="17">
        <v>300</v>
      </c>
      <c r="D45" s="15" t="s">
        <v>222</v>
      </c>
      <c r="E45" s="15">
        <v>2.85</v>
      </c>
      <c r="F45" s="19">
        <f t="shared" si="0"/>
        <v>855</v>
      </c>
      <c r="G45" s="14" t="s">
        <v>413</v>
      </c>
    </row>
    <row r="46" spans="1:7" x14ac:dyDescent="0.25">
      <c r="A46" s="14" t="s">
        <v>414</v>
      </c>
      <c r="B46" s="14" t="s">
        <v>415</v>
      </c>
      <c r="C46" s="17">
        <v>300</v>
      </c>
      <c r="D46" s="15" t="s">
        <v>222</v>
      </c>
      <c r="E46" s="15">
        <v>0.92200000000000004</v>
      </c>
      <c r="F46" s="19">
        <f t="shared" si="0"/>
        <v>276.60000000000002</v>
      </c>
      <c r="G46" s="14" t="s">
        <v>416</v>
      </c>
    </row>
    <row r="47" spans="1:7" x14ac:dyDescent="0.25">
      <c r="A47" s="14" t="s">
        <v>417</v>
      </c>
      <c r="B47" s="14" t="s">
        <v>302</v>
      </c>
      <c r="C47" s="17">
        <v>300</v>
      </c>
      <c r="D47" s="15" t="s">
        <v>222</v>
      </c>
      <c r="E47" s="15">
        <v>1.972</v>
      </c>
      <c r="F47" s="19">
        <f t="shared" si="0"/>
        <v>591.6</v>
      </c>
      <c r="G47" s="14" t="s">
        <v>418</v>
      </c>
    </row>
    <row r="48" spans="1:7" x14ac:dyDescent="0.25">
      <c r="A48" s="14" t="s">
        <v>419</v>
      </c>
      <c r="B48" s="14" t="s">
        <v>305</v>
      </c>
      <c r="C48" s="17">
        <v>300</v>
      </c>
      <c r="D48" s="15" t="s">
        <v>222</v>
      </c>
      <c r="E48" s="15">
        <v>4.26</v>
      </c>
      <c r="F48" s="19">
        <f t="shared" si="0"/>
        <v>1278</v>
      </c>
      <c r="G48" s="14" t="s">
        <v>420</v>
      </c>
    </row>
    <row r="49" spans="1:7" x14ac:dyDescent="0.25">
      <c r="A49" s="14" t="s">
        <v>421</v>
      </c>
      <c r="B49" s="14" t="s">
        <v>422</v>
      </c>
      <c r="C49" s="17">
        <v>300</v>
      </c>
      <c r="D49" s="15" t="s">
        <v>222</v>
      </c>
      <c r="E49" s="15">
        <v>2.12</v>
      </c>
      <c r="F49" s="19">
        <f t="shared" si="0"/>
        <v>636</v>
      </c>
      <c r="G49" s="14" t="s">
        <v>423</v>
      </c>
    </row>
    <row r="50" spans="1:7" x14ac:dyDescent="0.25">
      <c r="A50" s="14" t="s">
        <v>424</v>
      </c>
      <c r="B50" s="14" t="s">
        <v>378</v>
      </c>
      <c r="C50" s="17">
        <v>300</v>
      </c>
      <c r="D50" s="15" t="s">
        <v>222</v>
      </c>
      <c r="E50" s="15">
        <v>0.16</v>
      </c>
      <c r="F50" s="19">
        <f t="shared" si="0"/>
        <v>48</v>
      </c>
      <c r="G50" s="14" t="s">
        <v>425</v>
      </c>
    </row>
    <row r="51" spans="1:7" x14ac:dyDescent="0.25">
      <c r="A51" s="14" t="s">
        <v>426</v>
      </c>
      <c r="B51" s="14" t="s">
        <v>426</v>
      </c>
      <c r="C51" s="17">
        <v>300</v>
      </c>
      <c r="D51" s="15" t="s">
        <v>222</v>
      </c>
      <c r="E51" s="15">
        <v>2.12</v>
      </c>
      <c r="F51" s="19">
        <f t="shared" si="0"/>
        <v>636</v>
      </c>
      <c r="G51" s="14" t="s">
        <v>423</v>
      </c>
    </row>
    <row r="52" spans="1:7" x14ac:dyDescent="0.25">
      <c r="A52" s="14" t="s">
        <v>427</v>
      </c>
      <c r="B52" s="14" t="s">
        <v>302</v>
      </c>
      <c r="C52" s="17">
        <v>280</v>
      </c>
      <c r="D52" s="15" t="s">
        <v>222</v>
      </c>
      <c r="E52" s="15">
        <v>1.5229999999999999</v>
      </c>
      <c r="F52" s="19">
        <f t="shared" si="0"/>
        <v>426.44</v>
      </c>
      <c r="G52" s="14" t="s">
        <v>428</v>
      </c>
    </row>
    <row r="53" spans="1:7" x14ac:dyDescent="0.25">
      <c r="A53" s="14" t="s">
        <v>429</v>
      </c>
      <c r="B53" s="14" t="s">
        <v>305</v>
      </c>
      <c r="C53" s="17">
        <v>280</v>
      </c>
      <c r="D53" s="15" t="s">
        <v>222</v>
      </c>
      <c r="E53" s="15">
        <v>1.532</v>
      </c>
      <c r="F53" s="19">
        <f t="shared" si="0"/>
        <v>428.96000000000004</v>
      </c>
      <c r="G53" s="14" t="s">
        <v>430</v>
      </c>
    </row>
    <row r="54" spans="1:7" x14ac:dyDescent="0.25">
      <c r="A54" s="14" t="s">
        <v>431</v>
      </c>
      <c r="B54" s="14" t="s">
        <v>432</v>
      </c>
      <c r="C54" s="17">
        <v>280</v>
      </c>
      <c r="D54" s="15" t="s">
        <v>222</v>
      </c>
      <c r="E54" s="15">
        <v>0.97</v>
      </c>
      <c r="F54" s="19">
        <f t="shared" si="0"/>
        <v>271.59999999999997</v>
      </c>
      <c r="G54" s="14" t="s">
        <v>433</v>
      </c>
    </row>
    <row r="55" spans="1:7" x14ac:dyDescent="0.25">
      <c r="A55" s="14" t="s">
        <v>434</v>
      </c>
      <c r="B55" s="14" t="s">
        <v>435</v>
      </c>
      <c r="C55" s="17">
        <v>280</v>
      </c>
      <c r="D55" s="15" t="s">
        <v>222</v>
      </c>
      <c r="E55" s="15">
        <v>0.93400000000000005</v>
      </c>
      <c r="F55" s="19">
        <f t="shared" si="0"/>
        <v>261.52000000000004</v>
      </c>
      <c r="G55" s="14" t="s">
        <v>436</v>
      </c>
    </row>
    <row r="56" spans="1:7" x14ac:dyDescent="0.25">
      <c r="A56" s="14" t="s">
        <v>437</v>
      </c>
      <c r="B56" s="14" t="s">
        <v>438</v>
      </c>
      <c r="C56" s="17">
        <v>280</v>
      </c>
      <c r="D56" s="15" t="s">
        <v>222</v>
      </c>
      <c r="E56" s="15">
        <v>1.3620000000000001</v>
      </c>
      <c r="F56" s="19">
        <f t="shared" si="0"/>
        <v>381.36</v>
      </c>
      <c r="G56" s="14" t="s">
        <v>439</v>
      </c>
    </row>
    <row r="57" spans="1:7" x14ac:dyDescent="0.25">
      <c r="A57" s="14" t="s">
        <v>440</v>
      </c>
      <c r="B57" s="14" t="s">
        <v>364</v>
      </c>
      <c r="C57" s="17">
        <v>280</v>
      </c>
      <c r="D57" s="15" t="s">
        <v>222</v>
      </c>
      <c r="E57" s="15">
        <v>0.46200000000000002</v>
      </c>
      <c r="F57" s="19">
        <f t="shared" si="0"/>
        <v>129.36000000000001</v>
      </c>
      <c r="G57" s="14" t="s">
        <v>441</v>
      </c>
    </row>
    <row r="58" spans="1:7" x14ac:dyDescent="0.25">
      <c r="A58" s="14" t="s">
        <v>442</v>
      </c>
      <c r="B58" s="14" t="s">
        <v>318</v>
      </c>
      <c r="C58" s="17">
        <v>280</v>
      </c>
      <c r="D58" s="15" t="s">
        <v>222</v>
      </c>
      <c r="E58" s="15">
        <v>0.30099999999999999</v>
      </c>
      <c r="F58" s="19">
        <f t="shared" si="0"/>
        <v>84.28</v>
      </c>
      <c r="G58" s="14" t="s">
        <v>443</v>
      </c>
    </row>
    <row r="59" spans="1:7" x14ac:dyDescent="0.25">
      <c r="A59" s="14" t="s">
        <v>444</v>
      </c>
      <c r="B59" s="14" t="s">
        <v>445</v>
      </c>
      <c r="C59" s="17">
        <v>270</v>
      </c>
      <c r="D59" s="15" t="s">
        <v>222</v>
      </c>
      <c r="E59" s="15">
        <v>1.32</v>
      </c>
      <c r="F59" s="19">
        <f t="shared" si="0"/>
        <v>356.40000000000003</v>
      </c>
      <c r="G59" s="14" t="s">
        <v>446</v>
      </c>
    </row>
    <row r="60" spans="1:7" x14ac:dyDescent="0.25">
      <c r="A60" s="14" t="s">
        <v>447</v>
      </c>
      <c r="B60" s="14" t="s">
        <v>448</v>
      </c>
      <c r="C60" s="17">
        <v>270</v>
      </c>
      <c r="D60" s="15" t="s">
        <v>222</v>
      </c>
      <c r="E60" s="15">
        <v>5.4420000000000002</v>
      </c>
      <c r="F60" s="19">
        <f t="shared" si="0"/>
        <v>1469.3400000000001</v>
      </c>
      <c r="G60" s="14" t="s">
        <v>449</v>
      </c>
    </row>
    <row r="61" spans="1:7" x14ac:dyDescent="0.25">
      <c r="A61" s="14" t="s">
        <v>450</v>
      </c>
      <c r="B61" s="14" t="s">
        <v>451</v>
      </c>
      <c r="C61" s="17">
        <v>270</v>
      </c>
      <c r="D61" s="15" t="s">
        <v>222</v>
      </c>
      <c r="E61" s="15">
        <v>1.292</v>
      </c>
      <c r="F61" s="19">
        <f t="shared" si="0"/>
        <v>348.84000000000003</v>
      </c>
      <c r="G61" s="14" t="s">
        <v>452</v>
      </c>
    </row>
    <row r="62" spans="1:7" x14ac:dyDescent="0.25">
      <c r="A62" s="14" t="s">
        <v>453</v>
      </c>
      <c r="B62" s="14" t="s">
        <v>454</v>
      </c>
      <c r="C62" s="17">
        <v>260</v>
      </c>
      <c r="D62" s="15" t="s">
        <v>222</v>
      </c>
      <c r="E62" s="15">
        <v>0.22</v>
      </c>
      <c r="F62" s="19">
        <f t="shared" si="0"/>
        <v>57.2</v>
      </c>
      <c r="G62" s="14" t="s">
        <v>455</v>
      </c>
    </row>
    <row r="63" spans="1:7" x14ac:dyDescent="0.25">
      <c r="A63" s="14" t="s">
        <v>456</v>
      </c>
      <c r="B63" s="14" t="s">
        <v>457</v>
      </c>
      <c r="C63" s="17">
        <v>250</v>
      </c>
      <c r="D63" s="15" t="s">
        <v>222</v>
      </c>
      <c r="E63" s="15">
        <v>3.7759999999999998</v>
      </c>
      <c r="F63" s="19">
        <f t="shared" si="0"/>
        <v>944</v>
      </c>
      <c r="G63" s="14" t="s">
        <v>458</v>
      </c>
    </row>
    <row r="64" spans="1:7" x14ac:dyDescent="0.25">
      <c r="A64" s="14" t="s">
        <v>459</v>
      </c>
      <c r="B64" s="14" t="s">
        <v>302</v>
      </c>
      <c r="C64" s="17">
        <v>250</v>
      </c>
      <c r="D64" s="15" t="s">
        <v>222</v>
      </c>
      <c r="E64" s="15">
        <v>0.26</v>
      </c>
      <c r="F64" s="19">
        <f t="shared" si="0"/>
        <v>65</v>
      </c>
      <c r="G64" s="14" t="s">
        <v>460</v>
      </c>
    </row>
    <row r="65" spans="1:7" x14ac:dyDescent="0.25">
      <c r="A65" s="14" t="s">
        <v>461</v>
      </c>
      <c r="B65" s="14" t="s">
        <v>305</v>
      </c>
      <c r="C65" s="17">
        <v>250</v>
      </c>
      <c r="D65" s="15" t="s">
        <v>222</v>
      </c>
      <c r="E65" s="15">
        <v>2.3359999999999999</v>
      </c>
      <c r="F65" s="19">
        <f t="shared" si="0"/>
        <v>584</v>
      </c>
      <c r="G65" s="14" t="s">
        <v>462</v>
      </c>
    </row>
    <row r="66" spans="1:7" x14ac:dyDescent="0.25">
      <c r="A66" s="14" t="s">
        <v>463</v>
      </c>
      <c r="B66" s="14" t="s">
        <v>318</v>
      </c>
      <c r="C66" s="17">
        <v>250</v>
      </c>
      <c r="D66" s="15" t="s">
        <v>222</v>
      </c>
      <c r="E66" s="15">
        <v>0.156</v>
      </c>
      <c r="F66" s="19">
        <f t="shared" si="0"/>
        <v>39</v>
      </c>
      <c r="G66" s="14" t="s">
        <v>464</v>
      </c>
    </row>
    <row r="67" spans="1:7" x14ac:dyDescent="0.25">
      <c r="A67" s="14" t="s">
        <v>465</v>
      </c>
      <c r="B67" s="14" t="s">
        <v>466</v>
      </c>
      <c r="C67" s="17">
        <v>240</v>
      </c>
      <c r="D67" s="15" t="s">
        <v>222</v>
      </c>
      <c r="E67" s="15">
        <v>0.72199999999999998</v>
      </c>
      <c r="F67" s="19">
        <f t="shared" ref="F67:F130" si="1">C67*E67</f>
        <v>173.28</v>
      </c>
      <c r="G67" s="14" t="s">
        <v>467</v>
      </c>
    </row>
    <row r="68" spans="1:7" x14ac:dyDescent="0.25">
      <c r="A68" s="14" t="s">
        <v>468</v>
      </c>
      <c r="B68" s="14" t="s">
        <v>302</v>
      </c>
      <c r="C68" s="17">
        <v>230</v>
      </c>
      <c r="D68" s="15" t="s">
        <v>222</v>
      </c>
      <c r="E68" s="15">
        <v>1.131</v>
      </c>
      <c r="F68" s="19">
        <f t="shared" si="1"/>
        <v>260.13</v>
      </c>
      <c r="G68" s="14" t="s">
        <v>469</v>
      </c>
    </row>
    <row r="69" spans="1:7" x14ac:dyDescent="0.25">
      <c r="A69" s="14" t="s">
        <v>470</v>
      </c>
      <c r="B69" s="14" t="s">
        <v>305</v>
      </c>
      <c r="C69" s="17">
        <v>230</v>
      </c>
      <c r="D69" s="15" t="s">
        <v>222</v>
      </c>
      <c r="E69" s="15">
        <v>2.258</v>
      </c>
      <c r="F69" s="19">
        <f t="shared" si="1"/>
        <v>519.34</v>
      </c>
      <c r="G69" s="14" t="s">
        <v>471</v>
      </c>
    </row>
    <row r="70" spans="1:7" x14ac:dyDescent="0.25">
      <c r="A70" s="14" t="s">
        <v>472</v>
      </c>
      <c r="B70" s="14" t="s">
        <v>454</v>
      </c>
      <c r="C70" s="17">
        <v>230</v>
      </c>
      <c r="D70" s="15" t="s">
        <v>222</v>
      </c>
      <c r="E70" s="15">
        <v>0.65800000000000003</v>
      </c>
      <c r="F70" s="19">
        <f t="shared" si="1"/>
        <v>151.34</v>
      </c>
      <c r="G70" s="14" t="s">
        <v>473</v>
      </c>
    </row>
    <row r="71" spans="1:7" x14ac:dyDescent="0.25">
      <c r="A71" s="14" t="s">
        <v>474</v>
      </c>
      <c r="B71" s="14" t="s">
        <v>305</v>
      </c>
      <c r="C71" s="17">
        <v>220</v>
      </c>
      <c r="D71" s="15" t="s">
        <v>222</v>
      </c>
      <c r="E71" s="15">
        <v>4.3079999999999998</v>
      </c>
      <c r="F71" s="19">
        <f t="shared" si="1"/>
        <v>947.76</v>
      </c>
      <c r="G71" s="14" t="s">
        <v>475</v>
      </c>
    </row>
    <row r="72" spans="1:7" x14ac:dyDescent="0.25">
      <c r="A72" s="14" t="s">
        <v>476</v>
      </c>
      <c r="B72" s="14" t="s">
        <v>466</v>
      </c>
      <c r="C72" s="17">
        <v>210</v>
      </c>
      <c r="D72" s="15" t="s">
        <v>222</v>
      </c>
      <c r="E72" s="15">
        <v>0.33600000000000002</v>
      </c>
      <c r="F72" s="19">
        <f t="shared" si="1"/>
        <v>70.56</v>
      </c>
      <c r="G72" s="14" t="s">
        <v>477</v>
      </c>
    </row>
    <row r="73" spans="1:7" x14ac:dyDescent="0.25">
      <c r="A73" s="14" t="s">
        <v>478</v>
      </c>
      <c r="B73" s="14" t="s">
        <v>403</v>
      </c>
      <c r="C73" s="17">
        <v>200</v>
      </c>
      <c r="D73" s="15" t="s">
        <v>222</v>
      </c>
      <c r="E73" s="15">
        <v>1.1970000000000001</v>
      </c>
      <c r="F73" s="19">
        <f t="shared" si="1"/>
        <v>239.4</v>
      </c>
      <c r="G73" s="14" t="s">
        <v>479</v>
      </c>
    </row>
    <row r="74" spans="1:7" x14ac:dyDescent="0.25">
      <c r="A74" s="14" t="s">
        <v>480</v>
      </c>
      <c r="B74" s="14" t="s">
        <v>481</v>
      </c>
      <c r="C74" s="17">
        <v>200</v>
      </c>
      <c r="D74" s="15" t="s">
        <v>222</v>
      </c>
      <c r="E74" s="15">
        <v>0.64</v>
      </c>
      <c r="F74" s="19">
        <f t="shared" si="1"/>
        <v>128</v>
      </c>
      <c r="G74" s="14" t="s">
        <v>482</v>
      </c>
    </row>
    <row r="75" spans="1:7" x14ac:dyDescent="0.25">
      <c r="A75" s="14" t="s">
        <v>483</v>
      </c>
      <c r="B75" s="14" t="s">
        <v>302</v>
      </c>
      <c r="C75" s="17">
        <v>200</v>
      </c>
      <c r="D75" s="15" t="s">
        <v>222</v>
      </c>
      <c r="E75" s="15">
        <v>0.28999999999999998</v>
      </c>
      <c r="F75" s="19">
        <f t="shared" si="1"/>
        <v>57.999999999999993</v>
      </c>
      <c r="G75" s="14" t="s">
        <v>484</v>
      </c>
    </row>
    <row r="76" spans="1:7" x14ac:dyDescent="0.25">
      <c r="A76" s="14" t="s">
        <v>485</v>
      </c>
      <c r="B76" s="14" t="s">
        <v>302</v>
      </c>
      <c r="C76" s="17">
        <v>200</v>
      </c>
      <c r="D76" s="15" t="s">
        <v>222</v>
      </c>
      <c r="E76" s="15">
        <v>1.095</v>
      </c>
      <c r="F76" s="19">
        <f t="shared" si="1"/>
        <v>219</v>
      </c>
      <c r="G76" s="14" t="s">
        <v>486</v>
      </c>
    </row>
    <row r="77" spans="1:7" x14ac:dyDescent="0.25">
      <c r="A77" s="14" t="s">
        <v>487</v>
      </c>
      <c r="B77" s="14" t="s">
        <v>305</v>
      </c>
      <c r="C77" s="17">
        <v>200</v>
      </c>
      <c r="D77" s="15" t="s">
        <v>222</v>
      </c>
      <c r="E77" s="15">
        <v>2.629</v>
      </c>
      <c r="F77" s="19">
        <f t="shared" si="1"/>
        <v>525.79999999999995</v>
      </c>
      <c r="G77" s="14" t="s">
        <v>488</v>
      </c>
    </row>
    <row r="78" spans="1:7" x14ac:dyDescent="0.25">
      <c r="A78" s="14" t="s">
        <v>489</v>
      </c>
      <c r="B78" s="14" t="s">
        <v>490</v>
      </c>
      <c r="C78" s="17">
        <v>200</v>
      </c>
      <c r="D78" s="15" t="s">
        <v>222</v>
      </c>
      <c r="E78" s="15">
        <v>1.657</v>
      </c>
      <c r="F78" s="19">
        <f t="shared" si="1"/>
        <v>331.4</v>
      </c>
      <c r="G78" s="14" t="s">
        <v>491</v>
      </c>
    </row>
    <row r="79" spans="1:7" x14ac:dyDescent="0.25">
      <c r="A79" s="14" t="s">
        <v>492</v>
      </c>
      <c r="B79" s="14" t="s">
        <v>493</v>
      </c>
      <c r="C79" s="17">
        <v>200</v>
      </c>
      <c r="D79" s="15" t="s">
        <v>222</v>
      </c>
      <c r="E79" s="15">
        <v>0.74299999999999999</v>
      </c>
      <c r="F79" s="19">
        <f t="shared" si="1"/>
        <v>148.6</v>
      </c>
      <c r="G79" s="14" t="s">
        <v>494</v>
      </c>
    </row>
    <row r="80" spans="1:7" x14ac:dyDescent="0.25">
      <c r="A80" s="14" t="s">
        <v>495</v>
      </c>
      <c r="B80" s="14" t="s">
        <v>466</v>
      </c>
      <c r="C80" s="17">
        <v>200</v>
      </c>
      <c r="D80" s="15" t="s">
        <v>222</v>
      </c>
      <c r="E80" s="15">
        <v>0.46200000000000002</v>
      </c>
      <c r="F80" s="19">
        <f t="shared" si="1"/>
        <v>92.4</v>
      </c>
      <c r="G80" s="14" t="s">
        <v>496</v>
      </c>
    </row>
    <row r="81" spans="1:7" x14ac:dyDescent="0.25">
      <c r="A81" s="14" t="s">
        <v>497</v>
      </c>
      <c r="B81" s="14" t="s">
        <v>498</v>
      </c>
      <c r="C81" s="17">
        <v>200</v>
      </c>
      <c r="D81" s="15" t="s">
        <v>222</v>
      </c>
      <c r="E81" s="15">
        <v>0.32</v>
      </c>
      <c r="F81" s="19">
        <f t="shared" si="1"/>
        <v>64</v>
      </c>
      <c r="G81" s="14" t="s">
        <v>499</v>
      </c>
    </row>
    <row r="82" spans="1:7" x14ac:dyDescent="0.25">
      <c r="A82" s="14" t="s">
        <v>500</v>
      </c>
      <c r="B82" s="14" t="s">
        <v>313</v>
      </c>
      <c r="C82" s="17">
        <v>200</v>
      </c>
      <c r="D82" s="15" t="s">
        <v>222</v>
      </c>
      <c r="E82" s="15">
        <v>0.26900000000000002</v>
      </c>
      <c r="F82" s="19">
        <f t="shared" si="1"/>
        <v>53.800000000000004</v>
      </c>
      <c r="G82" s="14" t="s">
        <v>501</v>
      </c>
    </row>
    <row r="83" spans="1:7" x14ac:dyDescent="0.25">
      <c r="A83" s="14" t="s">
        <v>502</v>
      </c>
      <c r="B83" s="14" t="s">
        <v>503</v>
      </c>
      <c r="C83" s="17">
        <v>200</v>
      </c>
      <c r="D83" s="15" t="s">
        <v>222</v>
      </c>
      <c r="E83" s="15">
        <v>0.34399999999999997</v>
      </c>
      <c r="F83" s="19">
        <f t="shared" si="1"/>
        <v>68.8</v>
      </c>
      <c r="G83" s="14" t="s">
        <v>504</v>
      </c>
    </row>
    <row r="84" spans="1:7" x14ac:dyDescent="0.25">
      <c r="A84" s="14" t="s">
        <v>505</v>
      </c>
      <c r="B84" s="14" t="s">
        <v>318</v>
      </c>
      <c r="C84" s="17">
        <v>200</v>
      </c>
      <c r="D84" s="15" t="s">
        <v>222</v>
      </c>
      <c r="E84" s="15">
        <v>0.252</v>
      </c>
      <c r="F84" s="19">
        <f t="shared" si="1"/>
        <v>50.4</v>
      </c>
      <c r="G84" s="14" t="s">
        <v>506</v>
      </c>
    </row>
    <row r="85" spans="1:7" x14ac:dyDescent="0.25">
      <c r="A85" s="14" t="s">
        <v>507</v>
      </c>
      <c r="B85" s="14" t="s">
        <v>508</v>
      </c>
      <c r="C85" s="17">
        <v>190</v>
      </c>
      <c r="D85" s="15" t="s">
        <v>222</v>
      </c>
      <c r="E85" s="15">
        <v>0.76700000000000002</v>
      </c>
      <c r="F85" s="19">
        <f t="shared" si="1"/>
        <v>145.72999999999999</v>
      </c>
      <c r="G85" s="14" t="s">
        <v>509</v>
      </c>
    </row>
    <row r="86" spans="1:7" x14ac:dyDescent="0.25">
      <c r="A86" s="14" t="s">
        <v>510</v>
      </c>
      <c r="B86" s="14" t="s">
        <v>349</v>
      </c>
      <c r="C86" s="17">
        <v>180</v>
      </c>
      <c r="D86" s="15" t="s">
        <v>222</v>
      </c>
      <c r="E86" s="15">
        <v>1.857</v>
      </c>
      <c r="F86" s="19">
        <f t="shared" si="1"/>
        <v>334.26</v>
      </c>
      <c r="G86" s="14" t="s">
        <v>511</v>
      </c>
    </row>
    <row r="87" spans="1:7" x14ac:dyDescent="0.25">
      <c r="A87" s="14" t="s">
        <v>512</v>
      </c>
      <c r="B87" s="14" t="s">
        <v>344</v>
      </c>
      <c r="C87" s="17">
        <v>170</v>
      </c>
      <c r="D87" s="15" t="s">
        <v>222</v>
      </c>
      <c r="E87" s="15">
        <v>1</v>
      </c>
      <c r="F87" s="19">
        <f t="shared" si="1"/>
        <v>170</v>
      </c>
      <c r="G87" s="14" t="s">
        <v>513</v>
      </c>
    </row>
    <row r="88" spans="1:7" x14ac:dyDescent="0.25">
      <c r="A88" s="14" t="s">
        <v>514</v>
      </c>
      <c r="B88" s="14" t="s">
        <v>515</v>
      </c>
      <c r="C88" s="17">
        <v>170</v>
      </c>
      <c r="D88" s="15" t="s">
        <v>222</v>
      </c>
      <c r="E88" s="15">
        <v>1.25</v>
      </c>
      <c r="F88" s="19">
        <f t="shared" si="1"/>
        <v>212.5</v>
      </c>
      <c r="G88" s="14" t="s">
        <v>516</v>
      </c>
    </row>
    <row r="89" spans="1:7" x14ac:dyDescent="0.25">
      <c r="A89" s="14" t="s">
        <v>517</v>
      </c>
      <c r="B89" s="14" t="s">
        <v>518</v>
      </c>
      <c r="C89" s="17">
        <v>170</v>
      </c>
      <c r="D89" s="15" t="s">
        <v>222</v>
      </c>
      <c r="E89" s="15">
        <v>1.46</v>
      </c>
      <c r="F89" s="19">
        <f t="shared" si="1"/>
        <v>248.2</v>
      </c>
      <c r="G89" s="14" t="s">
        <v>519</v>
      </c>
    </row>
    <row r="90" spans="1:7" x14ac:dyDescent="0.25">
      <c r="A90" s="14" t="s">
        <v>520</v>
      </c>
      <c r="B90" s="14" t="s">
        <v>369</v>
      </c>
      <c r="C90" s="17">
        <v>170</v>
      </c>
      <c r="D90" s="15" t="s">
        <v>222</v>
      </c>
      <c r="E90" s="15">
        <v>0.14199999999999999</v>
      </c>
      <c r="F90" s="19">
        <f t="shared" si="1"/>
        <v>24.139999999999997</v>
      </c>
      <c r="G90" s="14" t="s">
        <v>521</v>
      </c>
    </row>
    <row r="91" spans="1:7" x14ac:dyDescent="0.25">
      <c r="A91" s="14" t="s">
        <v>522</v>
      </c>
      <c r="B91" s="14" t="s">
        <v>305</v>
      </c>
      <c r="C91" s="17">
        <v>160</v>
      </c>
      <c r="D91" s="15" t="s">
        <v>222</v>
      </c>
      <c r="E91" s="15">
        <v>0.82499999999999996</v>
      </c>
      <c r="F91" s="19">
        <f t="shared" si="1"/>
        <v>132</v>
      </c>
      <c r="G91" s="14" t="s">
        <v>523</v>
      </c>
    </row>
    <row r="92" spans="1:7" x14ac:dyDescent="0.25">
      <c r="A92" s="14" t="s">
        <v>524</v>
      </c>
      <c r="B92" s="14" t="s">
        <v>165</v>
      </c>
      <c r="C92" s="17">
        <v>160</v>
      </c>
      <c r="D92" s="15" t="s">
        <v>222</v>
      </c>
      <c r="E92" s="15">
        <v>0.30599999999999999</v>
      </c>
      <c r="F92" s="19">
        <f t="shared" si="1"/>
        <v>48.96</v>
      </c>
      <c r="G92" s="14" t="s">
        <v>525</v>
      </c>
    </row>
    <row r="93" spans="1:7" x14ac:dyDescent="0.25">
      <c r="A93" s="14" t="s">
        <v>526</v>
      </c>
      <c r="B93" s="14" t="s">
        <v>498</v>
      </c>
      <c r="C93" s="17">
        <v>160</v>
      </c>
      <c r="D93" s="15" t="s">
        <v>222</v>
      </c>
      <c r="E93" s="15">
        <v>0.69399999999999995</v>
      </c>
      <c r="F93" s="19">
        <f t="shared" si="1"/>
        <v>111.03999999999999</v>
      </c>
      <c r="G93" s="14" t="s">
        <v>527</v>
      </c>
    </row>
    <row r="94" spans="1:7" x14ac:dyDescent="0.25">
      <c r="A94" s="14" t="s">
        <v>528</v>
      </c>
      <c r="B94" s="14" t="s">
        <v>529</v>
      </c>
      <c r="C94" s="17">
        <v>150</v>
      </c>
      <c r="D94" s="15" t="s">
        <v>222</v>
      </c>
      <c r="E94" s="15">
        <v>0.32100000000000001</v>
      </c>
      <c r="F94" s="19">
        <f t="shared" si="1"/>
        <v>48.15</v>
      </c>
      <c r="G94" s="14" t="s">
        <v>530</v>
      </c>
    </row>
    <row r="95" spans="1:7" x14ac:dyDescent="0.25">
      <c r="A95" s="14" t="s">
        <v>531</v>
      </c>
      <c r="B95" s="14" t="s">
        <v>532</v>
      </c>
      <c r="C95" s="17">
        <v>150</v>
      </c>
      <c r="D95" s="15" t="s">
        <v>222</v>
      </c>
      <c r="E95" s="15">
        <v>0.35699999999999998</v>
      </c>
      <c r="F95" s="19">
        <f t="shared" si="1"/>
        <v>53.55</v>
      </c>
      <c r="G95" s="14" t="s">
        <v>533</v>
      </c>
    </row>
    <row r="96" spans="1:7" x14ac:dyDescent="0.25">
      <c r="A96" s="14" t="s">
        <v>534</v>
      </c>
      <c r="B96" s="14" t="s">
        <v>403</v>
      </c>
      <c r="C96" s="17">
        <v>150</v>
      </c>
      <c r="D96" s="15" t="s">
        <v>222</v>
      </c>
      <c r="E96" s="15">
        <v>2.27</v>
      </c>
      <c r="F96" s="19">
        <f t="shared" si="1"/>
        <v>340.5</v>
      </c>
      <c r="G96" s="14" t="s">
        <v>535</v>
      </c>
    </row>
    <row r="97" spans="1:7" x14ac:dyDescent="0.25">
      <c r="A97" s="14" t="s">
        <v>536</v>
      </c>
      <c r="B97" s="14" t="s">
        <v>302</v>
      </c>
      <c r="C97" s="17">
        <v>150</v>
      </c>
      <c r="D97" s="15" t="s">
        <v>222</v>
      </c>
      <c r="E97" s="15">
        <v>1.59</v>
      </c>
      <c r="F97" s="19">
        <f t="shared" si="1"/>
        <v>238.5</v>
      </c>
      <c r="G97" s="14" t="s">
        <v>537</v>
      </c>
    </row>
    <row r="98" spans="1:7" x14ac:dyDescent="0.25">
      <c r="A98" s="14" t="s">
        <v>538</v>
      </c>
      <c r="B98" s="14" t="s">
        <v>302</v>
      </c>
      <c r="C98" s="17">
        <v>150</v>
      </c>
      <c r="D98" s="15" t="s">
        <v>222</v>
      </c>
      <c r="E98" s="15">
        <v>2.4769999999999999</v>
      </c>
      <c r="F98" s="19">
        <f t="shared" si="1"/>
        <v>371.54999999999995</v>
      </c>
      <c r="G98" s="14" t="s">
        <v>539</v>
      </c>
    </row>
    <row r="99" spans="1:7" x14ac:dyDescent="0.25">
      <c r="A99" s="14" t="s">
        <v>540</v>
      </c>
      <c r="B99" s="14" t="s">
        <v>302</v>
      </c>
      <c r="C99" s="17">
        <v>150</v>
      </c>
      <c r="D99" s="15" t="s">
        <v>222</v>
      </c>
      <c r="E99" s="15">
        <v>0.9</v>
      </c>
      <c r="F99" s="19">
        <f t="shared" si="1"/>
        <v>135</v>
      </c>
      <c r="G99" s="14" t="s">
        <v>541</v>
      </c>
    </row>
    <row r="100" spans="1:7" x14ac:dyDescent="0.25">
      <c r="A100" s="14" t="s">
        <v>542</v>
      </c>
      <c r="B100" s="14" t="s">
        <v>326</v>
      </c>
      <c r="C100" s="17">
        <v>150</v>
      </c>
      <c r="D100" s="15" t="s">
        <v>222</v>
      </c>
      <c r="E100" s="15">
        <v>1.17</v>
      </c>
      <c r="F100" s="19">
        <f t="shared" si="1"/>
        <v>175.5</v>
      </c>
      <c r="G100" s="14" t="s">
        <v>543</v>
      </c>
    </row>
    <row r="101" spans="1:7" x14ac:dyDescent="0.25">
      <c r="A101" s="14" t="s">
        <v>544</v>
      </c>
      <c r="B101" s="14" t="s">
        <v>326</v>
      </c>
      <c r="C101" s="17">
        <v>150</v>
      </c>
      <c r="D101" s="15" t="s">
        <v>222</v>
      </c>
      <c r="E101" s="15">
        <v>1.627</v>
      </c>
      <c r="F101" s="19">
        <f t="shared" si="1"/>
        <v>244.05</v>
      </c>
      <c r="G101" s="14" t="s">
        <v>545</v>
      </c>
    </row>
    <row r="102" spans="1:7" x14ac:dyDescent="0.25">
      <c r="A102" s="14" t="s">
        <v>546</v>
      </c>
      <c r="B102" s="14" t="s">
        <v>308</v>
      </c>
      <c r="C102" s="17">
        <v>150</v>
      </c>
      <c r="D102" s="15" t="s">
        <v>222</v>
      </c>
      <c r="E102" s="15">
        <v>1.3839999999999999</v>
      </c>
      <c r="F102" s="19">
        <f t="shared" si="1"/>
        <v>207.6</v>
      </c>
      <c r="G102" s="14" t="s">
        <v>547</v>
      </c>
    </row>
    <row r="103" spans="1:7" x14ac:dyDescent="0.25">
      <c r="A103" s="14" t="s">
        <v>548</v>
      </c>
      <c r="B103" s="14" t="s">
        <v>549</v>
      </c>
      <c r="C103" s="17">
        <v>150</v>
      </c>
      <c r="D103" s="15" t="s">
        <v>222</v>
      </c>
      <c r="E103" s="15">
        <v>3.02</v>
      </c>
      <c r="F103" s="19">
        <f t="shared" si="1"/>
        <v>453</v>
      </c>
      <c r="G103" s="14" t="s">
        <v>550</v>
      </c>
    </row>
    <row r="104" spans="1:7" x14ac:dyDescent="0.25">
      <c r="A104" s="14" t="s">
        <v>551</v>
      </c>
      <c r="B104" s="14" t="s">
        <v>552</v>
      </c>
      <c r="C104" s="17">
        <v>150</v>
      </c>
      <c r="D104" s="15" t="s">
        <v>222</v>
      </c>
      <c r="E104" s="15">
        <v>2.23</v>
      </c>
      <c r="F104" s="19">
        <f t="shared" si="1"/>
        <v>334.5</v>
      </c>
      <c r="G104" s="14" t="s">
        <v>553</v>
      </c>
    </row>
    <row r="105" spans="1:7" x14ac:dyDescent="0.25">
      <c r="A105" s="14" t="s">
        <v>554</v>
      </c>
      <c r="B105" s="14" t="s">
        <v>555</v>
      </c>
      <c r="C105" s="17">
        <v>150</v>
      </c>
      <c r="D105" s="15" t="s">
        <v>222</v>
      </c>
      <c r="E105" s="15">
        <v>1.32</v>
      </c>
      <c r="F105" s="19">
        <f t="shared" si="1"/>
        <v>198</v>
      </c>
      <c r="G105" s="14" t="s">
        <v>556</v>
      </c>
    </row>
    <row r="106" spans="1:7" x14ac:dyDescent="0.25">
      <c r="A106" s="14" t="s">
        <v>557</v>
      </c>
      <c r="B106" s="14" t="s">
        <v>338</v>
      </c>
      <c r="C106" s="17">
        <v>150</v>
      </c>
      <c r="D106" s="15" t="s">
        <v>222</v>
      </c>
      <c r="E106" s="15">
        <v>6.7619999999999996</v>
      </c>
      <c r="F106" s="19">
        <f t="shared" si="1"/>
        <v>1014.3</v>
      </c>
      <c r="G106" s="14" t="s">
        <v>558</v>
      </c>
    </row>
    <row r="107" spans="1:7" x14ac:dyDescent="0.25">
      <c r="A107" s="14" t="s">
        <v>559</v>
      </c>
      <c r="B107" s="14" t="s">
        <v>560</v>
      </c>
      <c r="C107" s="17">
        <v>150</v>
      </c>
      <c r="D107" s="15" t="s">
        <v>222</v>
      </c>
      <c r="E107" s="15">
        <v>6.69</v>
      </c>
      <c r="F107" s="19">
        <f t="shared" si="1"/>
        <v>1003.5000000000001</v>
      </c>
      <c r="G107" s="14" t="s">
        <v>561</v>
      </c>
    </row>
    <row r="108" spans="1:7" x14ac:dyDescent="0.25">
      <c r="A108" s="14" t="s">
        <v>562</v>
      </c>
      <c r="B108" s="14" t="s">
        <v>563</v>
      </c>
      <c r="C108" s="17">
        <v>150</v>
      </c>
      <c r="D108" s="15" t="s">
        <v>222</v>
      </c>
      <c r="E108" s="15">
        <v>1.3979999999999999</v>
      </c>
      <c r="F108" s="19">
        <f t="shared" si="1"/>
        <v>209.7</v>
      </c>
      <c r="G108" s="14" t="s">
        <v>564</v>
      </c>
    </row>
    <row r="109" spans="1:7" x14ac:dyDescent="0.25">
      <c r="A109" s="14" t="s">
        <v>565</v>
      </c>
      <c r="B109" s="14" t="s">
        <v>454</v>
      </c>
      <c r="C109" s="17">
        <v>150</v>
      </c>
      <c r="D109" s="15" t="s">
        <v>222</v>
      </c>
      <c r="E109" s="15">
        <v>0.17199999999999999</v>
      </c>
      <c r="F109" s="19">
        <f t="shared" si="1"/>
        <v>25.799999999999997</v>
      </c>
      <c r="G109" s="14" t="s">
        <v>566</v>
      </c>
    </row>
    <row r="110" spans="1:7" x14ac:dyDescent="0.25">
      <c r="A110" s="14" t="s">
        <v>567</v>
      </c>
      <c r="B110" s="14" t="s">
        <v>293</v>
      </c>
      <c r="C110" s="17">
        <v>150</v>
      </c>
      <c r="D110" s="15" t="s">
        <v>222</v>
      </c>
      <c r="E110" s="15">
        <v>7.1239999999999997</v>
      </c>
      <c r="F110" s="19">
        <f t="shared" si="1"/>
        <v>1068.5999999999999</v>
      </c>
      <c r="G110" s="14" t="s">
        <v>568</v>
      </c>
    </row>
    <row r="111" spans="1:7" x14ac:dyDescent="0.25">
      <c r="A111" s="14" t="s">
        <v>569</v>
      </c>
      <c r="B111" s="14" t="s">
        <v>297</v>
      </c>
      <c r="C111" s="17">
        <v>130</v>
      </c>
      <c r="D111" s="15" t="s">
        <v>222</v>
      </c>
      <c r="E111" s="15">
        <v>5.29</v>
      </c>
      <c r="F111" s="19">
        <f t="shared" si="1"/>
        <v>687.7</v>
      </c>
      <c r="G111" s="14" t="s">
        <v>570</v>
      </c>
    </row>
    <row r="112" spans="1:7" x14ac:dyDescent="0.25">
      <c r="A112" s="14" t="s">
        <v>571</v>
      </c>
      <c r="B112" s="14" t="s">
        <v>302</v>
      </c>
      <c r="C112" s="17">
        <v>120</v>
      </c>
      <c r="D112" s="15" t="s">
        <v>222</v>
      </c>
      <c r="E112" s="15">
        <v>0.69299999999999995</v>
      </c>
      <c r="F112" s="19">
        <f t="shared" si="1"/>
        <v>83.16</v>
      </c>
      <c r="G112" s="14" t="s">
        <v>572</v>
      </c>
    </row>
    <row r="113" spans="1:7" x14ac:dyDescent="0.25">
      <c r="A113" s="14" t="s">
        <v>573</v>
      </c>
      <c r="B113" s="14" t="s">
        <v>308</v>
      </c>
      <c r="C113" s="17">
        <v>120</v>
      </c>
      <c r="D113" s="15" t="s">
        <v>222</v>
      </c>
      <c r="E113" s="15">
        <v>0.72</v>
      </c>
      <c r="F113" s="19">
        <f t="shared" si="1"/>
        <v>86.399999999999991</v>
      </c>
      <c r="G113" s="14" t="s">
        <v>574</v>
      </c>
    </row>
    <row r="114" spans="1:7" x14ac:dyDescent="0.25">
      <c r="A114" s="14" t="s">
        <v>575</v>
      </c>
      <c r="B114" s="14" t="s">
        <v>352</v>
      </c>
      <c r="C114" s="17">
        <v>120</v>
      </c>
      <c r="D114" s="15" t="s">
        <v>222</v>
      </c>
      <c r="E114" s="15">
        <v>1.27</v>
      </c>
      <c r="F114" s="19">
        <f t="shared" si="1"/>
        <v>152.4</v>
      </c>
      <c r="G114" s="14" t="s">
        <v>576</v>
      </c>
    </row>
    <row r="115" spans="1:7" x14ac:dyDescent="0.25">
      <c r="A115" s="14" t="s">
        <v>577</v>
      </c>
      <c r="B115" s="14" t="s">
        <v>578</v>
      </c>
      <c r="C115" s="17">
        <v>120</v>
      </c>
      <c r="D115" s="15" t="s">
        <v>222</v>
      </c>
      <c r="E115" s="15">
        <v>0.58199999999999996</v>
      </c>
      <c r="F115" s="19">
        <f t="shared" si="1"/>
        <v>69.839999999999989</v>
      </c>
      <c r="G115" s="14" t="s">
        <v>579</v>
      </c>
    </row>
    <row r="116" spans="1:7" x14ac:dyDescent="0.25">
      <c r="A116" s="14" t="s">
        <v>580</v>
      </c>
      <c r="B116" s="14" t="s">
        <v>581</v>
      </c>
      <c r="C116" s="17">
        <v>120</v>
      </c>
      <c r="D116" s="15" t="s">
        <v>222</v>
      </c>
      <c r="E116" s="15">
        <v>3.88</v>
      </c>
      <c r="F116" s="19">
        <f t="shared" si="1"/>
        <v>465.59999999999997</v>
      </c>
      <c r="G116" s="14" t="s">
        <v>582</v>
      </c>
    </row>
    <row r="117" spans="1:7" x14ac:dyDescent="0.25">
      <c r="A117" s="14" t="s">
        <v>583</v>
      </c>
      <c r="B117" s="14" t="s">
        <v>584</v>
      </c>
      <c r="C117" s="17">
        <v>110</v>
      </c>
      <c r="D117" s="15" t="s">
        <v>222</v>
      </c>
      <c r="E117" s="15">
        <v>0.57999999999999996</v>
      </c>
      <c r="F117" s="19">
        <f t="shared" si="1"/>
        <v>63.8</v>
      </c>
      <c r="G117" s="14" t="s">
        <v>585</v>
      </c>
    </row>
    <row r="118" spans="1:7" x14ac:dyDescent="0.25">
      <c r="A118" s="14" t="s">
        <v>586</v>
      </c>
      <c r="B118" s="14" t="s">
        <v>369</v>
      </c>
      <c r="C118" s="17">
        <v>110</v>
      </c>
      <c r="D118" s="15" t="s">
        <v>222</v>
      </c>
      <c r="E118" s="15">
        <v>0.62</v>
      </c>
      <c r="F118" s="19">
        <f t="shared" si="1"/>
        <v>68.2</v>
      </c>
      <c r="G118" s="14" t="s">
        <v>587</v>
      </c>
    </row>
    <row r="119" spans="1:7" x14ac:dyDescent="0.25">
      <c r="A119" s="14" t="s">
        <v>588</v>
      </c>
      <c r="B119" s="14" t="s">
        <v>589</v>
      </c>
      <c r="C119" s="17">
        <v>100</v>
      </c>
      <c r="D119" s="15" t="s">
        <v>222</v>
      </c>
      <c r="E119" s="15">
        <v>1.712</v>
      </c>
      <c r="F119" s="19">
        <f t="shared" si="1"/>
        <v>171.2</v>
      </c>
      <c r="G119" s="14" t="s">
        <v>590</v>
      </c>
    </row>
    <row r="120" spans="1:7" x14ac:dyDescent="0.25">
      <c r="A120" s="14" t="s">
        <v>591</v>
      </c>
      <c r="B120" s="14" t="s">
        <v>381</v>
      </c>
      <c r="C120" s="17">
        <v>100</v>
      </c>
      <c r="D120" s="15" t="s">
        <v>222</v>
      </c>
      <c r="E120" s="15">
        <v>0.54900000000000004</v>
      </c>
      <c r="F120" s="19">
        <f t="shared" si="1"/>
        <v>54.900000000000006</v>
      </c>
      <c r="G120" s="14" t="s">
        <v>592</v>
      </c>
    </row>
    <row r="121" spans="1:7" x14ac:dyDescent="0.25">
      <c r="A121" s="14" t="s">
        <v>593</v>
      </c>
      <c r="B121" s="14" t="s">
        <v>594</v>
      </c>
      <c r="C121" s="17">
        <v>100</v>
      </c>
      <c r="D121" s="15" t="s">
        <v>222</v>
      </c>
      <c r="E121" s="15">
        <v>1.766</v>
      </c>
      <c r="F121" s="19">
        <f t="shared" si="1"/>
        <v>176.6</v>
      </c>
      <c r="G121" s="14" t="s">
        <v>595</v>
      </c>
    </row>
    <row r="122" spans="1:7" x14ac:dyDescent="0.25">
      <c r="A122" s="14" t="s">
        <v>596</v>
      </c>
      <c r="B122" s="14" t="s">
        <v>403</v>
      </c>
      <c r="C122" s="17">
        <v>100</v>
      </c>
      <c r="D122" s="15" t="s">
        <v>222</v>
      </c>
      <c r="E122" s="15">
        <v>2.4910000000000001</v>
      </c>
      <c r="F122" s="19">
        <f t="shared" si="1"/>
        <v>249.10000000000002</v>
      </c>
      <c r="G122" s="14" t="s">
        <v>597</v>
      </c>
    </row>
    <row r="123" spans="1:7" x14ac:dyDescent="0.25">
      <c r="A123" s="14" t="s">
        <v>598</v>
      </c>
      <c r="B123" s="14" t="s">
        <v>466</v>
      </c>
      <c r="C123" s="17">
        <v>100</v>
      </c>
      <c r="D123" s="15" t="s">
        <v>222</v>
      </c>
      <c r="E123" s="15">
        <v>0.52100000000000002</v>
      </c>
      <c r="F123" s="19">
        <f t="shared" si="1"/>
        <v>52.1</v>
      </c>
      <c r="G123" s="14" t="s">
        <v>599</v>
      </c>
    </row>
    <row r="124" spans="1:7" x14ac:dyDescent="0.25">
      <c r="A124" s="14" t="s">
        <v>600</v>
      </c>
      <c r="B124" s="14" t="s">
        <v>302</v>
      </c>
      <c r="C124" s="17">
        <v>100</v>
      </c>
      <c r="D124" s="15" t="s">
        <v>222</v>
      </c>
      <c r="E124" s="15">
        <v>0.86</v>
      </c>
      <c r="F124" s="19">
        <f t="shared" si="1"/>
        <v>86</v>
      </c>
      <c r="G124" s="14" t="s">
        <v>601</v>
      </c>
    </row>
    <row r="125" spans="1:7" x14ac:dyDescent="0.25">
      <c r="A125" s="14" t="s">
        <v>602</v>
      </c>
      <c r="B125" s="14" t="s">
        <v>326</v>
      </c>
      <c r="C125" s="17">
        <v>100</v>
      </c>
      <c r="D125" s="15" t="s">
        <v>222</v>
      </c>
      <c r="E125" s="15">
        <v>1.657</v>
      </c>
      <c r="F125" s="19">
        <f t="shared" si="1"/>
        <v>165.7</v>
      </c>
      <c r="G125" s="14" t="s">
        <v>491</v>
      </c>
    </row>
    <row r="126" spans="1:7" x14ac:dyDescent="0.25">
      <c r="A126" s="14" t="s">
        <v>603</v>
      </c>
      <c r="B126" s="14" t="s">
        <v>604</v>
      </c>
      <c r="C126" s="17">
        <v>100</v>
      </c>
      <c r="D126" s="15" t="s">
        <v>222</v>
      </c>
      <c r="E126" s="15">
        <v>1.97</v>
      </c>
      <c r="F126" s="19">
        <f t="shared" si="1"/>
        <v>197</v>
      </c>
      <c r="G126" s="14" t="s">
        <v>605</v>
      </c>
    </row>
    <row r="127" spans="1:7" x14ac:dyDescent="0.25">
      <c r="A127" s="14" t="s">
        <v>606</v>
      </c>
      <c r="B127" s="14" t="s">
        <v>607</v>
      </c>
      <c r="C127" s="17">
        <v>100</v>
      </c>
      <c r="D127" s="15" t="s">
        <v>222</v>
      </c>
      <c r="E127" s="15">
        <v>0.76</v>
      </c>
      <c r="F127" s="19">
        <f t="shared" si="1"/>
        <v>76</v>
      </c>
      <c r="G127" s="14" t="s">
        <v>608</v>
      </c>
    </row>
    <row r="128" spans="1:7" x14ac:dyDescent="0.25">
      <c r="A128" s="14" t="s">
        <v>609</v>
      </c>
      <c r="B128" s="14" t="s">
        <v>610</v>
      </c>
      <c r="C128" s="17">
        <v>100</v>
      </c>
      <c r="D128" s="15" t="s">
        <v>222</v>
      </c>
      <c r="E128" s="15">
        <v>0.92900000000000005</v>
      </c>
      <c r="F128" s="19">
        <f t="shared" si="1"/>
        <v>92.9</v>
      </c>
      <c r="G128" s="14" t="s">
        <v>611</v>
      </c>
    </row>
    <row r="129" spans="1:7" x14ac:dyDescent="0.25">
      <c r="A129" s="14" t="s">
        <v>612</v>
      </c>
      <c r="B129" s="14" t="s">
        <v>613</v>
      </c>
      <c r="C129" s="17">
        <v>100</v>
      </c>
      <c r="D129" s="15" t="s">
        <v>222</v>
      </c>
      <c r="E129" s="15">
        <v>0.81</v>
      </c>
      <c r="F129" s="19">
        <f t="shared" si="1"/>
        <v>81</v>
      </c>
      <c r="G129" s="14" t="s">
        <v>614</v>
      </c>
    </row>
    <row r="130" spans="1:7" x14ac:dyDescent="0.25">
      <c r="A130" s="14" t="s">
        <v>615</v>
      </c>
      <c r="B130" s="14" t="s">
        <v>165</v>
      </c>
      <c r="C130" s="17">
        <v>100</v>
      </c>
      <c r="D130" s="15" t="s">
        <v>222</v>
      </c>
      <c r="E130" s="15">
        <v>2.2999999999999998</v>
      </c>
      <c r="F130" s="19">
        <f t="shared" si="1"/>
        <v>229.99999999999997</v>
      </c>
      <c r="G130" s="14" t="s">
        <v>616</v>
      </c>
    </row>
    <row r="131" spans="1:7" x14ac:dyDescent="0.25">
      <c r="A131" s="14" t="s">
        <v>617</v>
      </c>
      <c r="B131" s="14" t="s">
        <v>618</v>
      </c>
      <c r="C131" s="17">
        <v>100</v>
      </c>
      <c r="D131" s="15" t="s">
        <v>222</v>
      </c>
      <c r="E131" s="15">
        <v>1.391</v>
      </c>
      <c r="F131" s="19">
        <f t="shared" ref="F131:F194" si="2">C131*E131</f>
        <v>139.1</v>
      </c>
      <c r="G131" s="14" t="s">
        <v>619</v>
      </c>
    </row>
    <row r="132" spans="1:7" x14ac:dyDescent="0.25">
      <c r="A132" s="14" t="s">
        <v>620</v>
      </c>
      <c r="B132" s="14" t="s">
        <v>369</v>
      </c>
      <c r="C132" s="17">
        <v>100</v>
      </c>
      <c r="D132" s="15" t="s">
        <v>222</v>
      </c>
      <c r="E132" s="15">
        <v>0.17199999999999999</v>
      </c>
      <c r="F132" s="19">
        <f t="shared" si="2"/>
        <v>17.2</v>
      </c>
      <c r="G132" s="14" t="s">
        <v>621</v>
      </c>
    </row>
    <row r="133" spans="1:7" x14ac:dyDescent="0.25">
      <c r="A133" s="14" t="s">
        <v>622</v>
      </c>
      <c r="B133" s="14" t="s">
        <v>623</v>
      </c>
      <c r="C133" s="17">
        <v>100</v>
      </c>
      <c r="D133" s="15" t="s">
        <v>222</v>
      </c>
      <c r="E133" s="15">
        <v>1.87</v>
      </c>
      <c r="F133" s="19">
        <f t="shared" si="2"/>
        <v>187</v>
      </c>
      <c r="G133" s="14" t="s">
        <v>624</v>
      </c>
    </row>
    <row r="134" spans="1:7" x14ac:dyDescent="0.25">
      <c r="A134" s="14" t="s">
        <v>625</v>
      </c>
      <c r="B134" s="14" t="s">
        <v>626</v>
      </c>
      <c r="C134" s="17">
        <v>90</v>
      </c>
      <c r="D134" s="15" t="s">
        <v>222</v>
      </c>
      <c r="E134" s="15">
        <v>0.3</v>
      </c>
      <c r="F134" s="19">
        <f t="shared" si="2"/>
        <v>27</v>
      </c>
      <c r="G134" s="14" t="s">
        <v>627</v>
      </c>
    </row>
    <row r="135" spans="1:7" x14ac:dyDescent="0.25">
      <c r="A135" s="14" t="s">
        <v>628</v>
      </c>
      <c r="B135" s="14" t="s">
        <v>349</v>
      </c>
      <c r="C135" s="17">
        <v>90</v>
      </c>
      <c r="D135" s="15" t="s">
        <v>222</v>
      </c>
      <c r="E135" s="15">
        <v>2.36</v>
      </c>
      <c r="F135" s="19">
        <f t="shared" si="2"/>
        <v>212.39999999999998</v>
      </c>
      <c r="G135" s="14" t="s">
        <v>629</v>
      </c>
    </row>
    <row r="136" spans="1:7" x14ac:dyDescent="0.25">
      <c r="A136" s="14" t="s">
        <v>630</v>
      </c>
      <c r="B136" s="14" t="s">
        <v>631</v>
      </c>
      <c r="C136" s="17">
        <v>80</v>
      </c>
      <c r="D136" s="15" t="s">
        <v>222</v>
      </c>
      <c r="E136" s="15">
        <v>0.57599999999999996</v>
      </c>
      <c r="F136" s="19">
        <f t="shared" si="2"/>
        <v>46.08</v>
      </c>
      <c r="G136" s="14" t="s">
        <v>632</v>
      </c>
    </row>
    <row r="137" spans="1:7" x14ac:dyDescent="0.25">
      <c r="A137" s="14" t="s">
        <v>633</v>
      </c>
      <c r="B137" s="14" t="s">
        <v>302</v>
      </c>
      <c r="C137" s="17">
        <v>80</v>
      </c>
      <c r="D137" s="15" t="s">
        <v>222</v>
      </c>
      <c r="E137" s="15">
        <v>1.04</v>
      </c>
      <c r="F137" s="19">
        <f t="shared" si="2"/>
        <v>83.2</v>
      </c>
      <c r="G137" s="14" t="s">
        <v>634</v>
      </c>
    </row>
    <row r="138" spans="1:7" x14ac:dyDescent="0.25">
      <c r="A138" s="14" t="s">
        <v>635</v>
      </c>
      <c r="B138" s="14" t="s">
        <v>302</v>
      </c>
      <c r="C138" s="17">
        <v>80</v>
      </c>
      <c r="D138" s="15" t="s">
        <v>222</v>
      </c>
      <c r="E138" s="15">
        <v>1.131</v>
      </c>
      <c r="F138" s="19">
        <f t="shared" si="2"/>
        <v>90.48</v>
      </c>
      <c r="G138" s="14" t="s">
        <v>636</v>
      </c>
    </row>
    <row r="139" spans="1:7" x14ac:dyDescent="0.25">
      <c r="A139" s="14" t="s">
        <v>637</v>
      </c>
      <c r="B139" s="14" t="s">
        <v>305</v>
      </c>
      <c r="C139" s="17">
        <v>80</v>
      </c>
      <c r="D139" s="15" t="s">
        <v>222</v>
      </c>
      <c r="E139" s="15">
        <v>3.4929999999999999</v>
      </c>
      <c r="F139" s="19">
        <f t="shared" si="2"/>
        <v>279.44</v>
      </c>
      <c r="G139" s="14" t="s">
        <v>638</v>
      </c>
    </row>
    <row r="140" spans="1:7" x14ac:dyDescent="0.25">
      <c r="A140" s="14" t="s">
        <v>639</v>
      </c>
      <c r="B140" s="14" t="s">
        <v>344</v>
      </c>
      <c r="C140" s="17">
        <v>80</v>
      </c>
      <c r="D140" s="15" t="s">
        <v>222</v>
      </c>
      <c r="E140" s="15">
        <v>0.47099999999999997</v>
      </c>
      <c r="F140" s="19">
        <f t="shared" si="2"/>
        <v>37.68</v>
      </c>
      <c r="G140" s="14" t="s">
        <v>640</v>
      </c>
    </row>
    <row r="141" spans="1:7" x14ac:dyDescent="0.25">
      <c r="A141" s="14" t="s">
        <v>641</v>
      </c>
      <c r="B141" s="14" t="s">
        <v>349</v>
      </c>
      <c r="C141" s="17">
        <v>80</v>
      </c>
      <c r="D141" s="15" t="s">
        <v>222</v>
      </c>
      <c r="E141" s="15">
        <v>2.286</v>
      </c>
      <c r="F141" s="19">
        <f t="shared" si="2"/>
        <v>182.88</v>
      </c>
      <c r="G141" s="14" t="s">
        <v>642</v>
      </c>
    </row>
    <row r="142" spans="1:7" x14ac:dyDescent="0.25">
      <c r="A142" s="14" t="s">
        <v>643</v>
      </c>
      <c r="B142" s="14" t="s">
        <v>644</v>
      </c>
      <c r="C142" s="17">
        <v>80</v>
      </c>
      <c r="D142" s="15" t="s">
        <v>222</v>
      </c>
      <c r="E142" s="15">
        <v>0.26200000000000001</v>
      </c>
      <c r="F142" s="19">
        <f t="shared" si="2"/>
        <v>20.96</v>
      </c>
      <c r="G142" s="14" t="s">
        <v>645</v>
      </c>
    </row>
    <row r="143" spans="1:7" x14ac:dyDescent="0.25">
      <c r="A143" s="14" t="s">
        <v>646</v>
      </c>
      <c r="B143" s="14" t="s">
        <v>647</v>
      </c>
      <c r="C143" s="17">
        <v>80</v>
      </c>
      <c r="D143" s="15" t="s">
        <v>222</v>
      </c>
      <c r="E143" s="15">
        <v>0.96899999999999997</v>
      </c>
      <c r="F143" s="19">
        <f t="shared" si="2"/>
        <v>77.52</v>
      </c>
      <c r="G143" s="14" t="s">
        <v>648</v>
      </c>
    </row>
    <row r="144" spans="1:7" x14ac:dyDescent="0.25">
      <c r="A144" s="14" t="s">
        <v>649</v>
      </c>
      <c r="B144" s="14" t="s">
        <v>650</v>
      </c>
      <c r="C144" s="17">
        <v>70</v>
      </c>
      <c r="D144" s="15" t="s">
        <v>222</v>
      </c>
      <c r="E144" s="15">
        <v>0.81</v>
      </c>
      <c r="F144" s="19">
        <f t="shared" si="2"/>
        <v>56.7</v>
      </c>
      <c r="G144" s="14" t="s">
        <v>651</v>
      </c>
    </row>
    <row r="145" spans="1:7" x14ac:dyDescent="0.25">
      <c r="A145" s="14" t="s">
        <v>652</v>
      </c>
      <c r="B145" s="14" t="s">
        <v>403</v>
      </c>
      <c r="C145" s="17">
        <v>70</v>
      </c>
      <c r="D145" s="15" t="s">
        <v>222</v>
      </c>
      <c r="E145" s="15">
        <v>1.1970000000000001</v>
      </c>
      <c r="F145" s="19">
        <f t="shared" si="2"/>
        <v>83.79</v>
      </c>
      <c r="G145" s="14" t="s">
        <v>653</v>
      </c>
    </row>
    <row r="146" spans="1:7" x14ac:dyDescent="0.25">
      <c r="A146" s="14" t="s">
        <v>654</v>
      </c>
      <c r="B146" s="14" t="s">
        <v>655</v>
      </c>
      <c r="C146" s="17">
        <v>70</v>
      </c>
      <c r="D146" s="15" t="s">
        <v>222</v>
      </c>
      <c r="E146" s="15">
        <v>2.2999999999999998</v>
      </c>
      <c r="F146" s="19">
        <f t="shared" si="2"/>
        <v>161</v>
      </c>
      <c r="G146" s="14" t="s">
        <v>656</v>
      </c>
    </row>
    <row r="147" spans="1:7" x14ac:dyDescent="0.25">
      <c r="A147" s="14" t="s">
        <v>657</v>
      </c>
      <c r="B147" s="14" t="s">
        <v>302</v>
      </c>
      <c r="C147" s="17">
        <v>70</v>
      </c>
      <c r="D147" s="15" t="s">
        <v>222</v>
      </c>
      <c r="E147" s="15">
        <v>1.2250000000000001</v>
      </c>
      <c r="F147" s="19">
        <f t="shared" si="2"/>
        <v>85.75</v>
      </c>
      <c r="G147" s="14" t="s">
        <v>658</v>
      </c>
    </row>
    <row r="148" spans="1:7" x14ac:dyDescent="0.25">
      <c r="A148" s="14" t="s">
        <v>659</v>
      </c>
      <c r="B148" s="14" t="s">
        <v>660</v>
      </c>
      <c r="C148" s="17">
        <v>70</v>
      </c>
      <c r="D148" s="15" t="s">
        <v>222</v>
      </c>
      <c r="E148" s="15">
        <v>6.8920000000000003</v>
      </c>
      <c r="F148" s="19">
        <f t="shared" si="2"/>
        <v>482.44</v>
      </c>
      <c r="G148" s="14" t="s">
        <v>661</v>
      </c>
    </row>
    <row r="149" spans="1:7" x14ac:dyDescent="0.25">
      <c r="A149" s="14" t="s">
        <v>662</v>
      </c>
      <c r="B149" s="14" t="s">
        <v>344</v>
      </c>
      <c r="C149" s="17">
        <v>70</v>
      </c>
      <c r="D149" s="15" t="s">
        <v>222</v>
      </c>
      <c r="E149" s="15">
        <v>1.024</v>
      </c>
      <c r="F149" s="19">
        <f t="shared" si="2"/>
        <v>71.680000000000007</v>
      </c>
      <c r="G149" s="14" t="s">
        <v>663</v>
      </c>
    </row>
    <row r="150" spans="1:7" x14ac:dyDescent="0.25">
      <c r="A150" s="14" t="s">
        <v>664</v>
      </c>
      <c r="B150" s="14" t="s">
        <v>665</v>
      </c>
      <c r="C150" s="17">
        <v>70</v>
      </c>
      <c r="D150" s="15" t="s">
        <v>222</v>
      </c>
      <c r="E150" s="15">
        <v>0.18099999999999999</v>
      </c>
      <c r="F150" s="19">
        <f t="shared" si="2"/>
        <v>12.67</v>
      </c>
      <c r="G150" s="14" t="s">
        <v>666</v>
      </c>
    </row>
    <row r="151" spans="1:7" x14ac:dyDescent="0.25">
      <c r="A151" s="14" t="s">
        <v>667</v>
      </c>
      <c r="B151" s="14" t="s">
        <v>338</v>
      </c>
      <c r="C151" s="17">
        <v>70</v>
      </c>
      <c r="D151" s="15" t="s">
        <v>222</v>
      </c>
      <c r="E151" s="15">
        <v>4.0209999999999999</v>
      </c>
      <c r="F151" s="19">
        <f t="shared" si="2"/>
        <v>281.46999999999997</v>
      </c>
      <c r="G151" s="14" t="s">
        <v>668</v>
      </c>
    </row>
    <row r="152" spans="1:7" x14ac:dyDescent="0.25">
      <c r="A152" s="14" t="s">
        <v>669</v>
      </c>
      <c r="B152" s="14" t="s">
        <v>338</v>
      </c>
      <c r="C152" s="17">
        <v>70</v>
      </c>
      <c r="D152" s="15" t="s">
        <v>222</v>
      </c>
      <c r="E152" s="15">
        <v>3.806</v>
      </c>
      <c r="F152" s="19">
        <f t="shared" si="2"/>
        <v>266.42</v>
      </c>
      <c r="G152" s="14" t="s">
        <v>670</v>
      </c>
    </row>
    <row r="153" spans="1:7" x14ac:dyDescent="0.25">
      <c r="A153" s="14" t="s">
        <v>671</v>
      </c>
      <c r="B153" s="14" t="s">
        <v>338</v>
      </c>
      <c r="C153" s="17">
        <v>70</v>
      </c>
      <c r="D153" s="15" t="s">
        <v>222</v>
      </c>
      <c r="E153" s="15">
        <v>5.7720000000000002</v>
      </c>
      <c r="F153" s="19">
        <f t="shared" si="2"/>
        <v>404.04</v>
      </c>
      <c r="G153" s="14" t="s">
        <v>672</v>
      </c>
    </row>
    <row r="154" spans="1:7" x14ac:dyDescent="0.25">
      <c r="A154" s="14" t="s">
        <v>673</v>
      </c>
      <c r="B154" s="14" t="s">
        <v>674</v>
      </c>
      <c r="C154" s="17">
        <v>70</v>
      </c>
      <c r="D154" s="15" t="s">
        <v>222</v>
      </c>
      <c r="E154" s="15">
        <v>6.2380000000000004</v>
      </c>
      <c r="F154" s="19">
        <f t="shared" si="2"/>
        <v>436.66</v>
      </c>
      <c r="G154" s="14" t="s">
        <v>675</v>
      </c>
    </row>
    <row r="155" spans="1:7" x14ac:dyDescent="0.25">
      <c r="A155" s="14" t="s">
        <v>676</v>
      </c>
      <c r="B155" s="14" t="s">
        <v>677</v>
      </c>
      <c r="C155" s="17">
        <v>70</v>
      </c>
      <c r="D155" s="15" t="s">
        <v>222</v>
      </c>
      <c r="E155" s="15">
        <v>2.7770000000000001</v>
      </c>
      <c r="F155" s="19">
        <f t="shared" si="2"/>
        <v>194.39000000000001</v>
      </c>
      <c r="G155" s="14" t="s">
        <v>678</v>
      </c>
    </row>
    <row r="156" spans="1:7" x14ac:dyDescent="0.25">
      <c r="A156" s="14" t="s">
        <v>679</v>
      </c>
      <c r="B156" s="14" t="s">
        <v>454</v>
      </c>
      <c r="C156" s="17">
        <v>70</v>
      </c>
      <c r="D156" s="15" t="s">
        <v>222</v>
      </c>
      <c r="E156" s="15">
        <v>0.434</v>
      </c>
      <c r="F156" s="19">
        <f t="shared" si="2"/>
        <v>30.38</v>
      </c>
      <c r="G156" s="14" t="s">
        <v>680</v>
      </c>
    </row>
    <row r="157" spans="1:7" x14ac:dyDescent="0.25">
      <c r="A157" s="14" t="s">
        <v>681</v>
      </c>
      <c r="B157" s="14" t="s">
        <v>364</v>
      </c>
      <c r="C157" s="17">
        <v>70</v>
      </c>
      <c r="D157" s="15" t="s">
        <v>222</v>
      </c>
      <c r="E157" s="15">
        <v>0.94599999999999995</v>
      </c>
      <c r="F157" s="19">
        <f t="shared" si="2"/>
        <v>66.22</v>
      </c>
      <c r="G157" s="14" t="s">
        <v>682</v>
      </c>
    </row>
    <row r="158" spans="1:7" x14ac:dyDescent="0.25">
      <c r="A158" s="14" t="s">
        <v>683</v>
      </c>
      <c r="B158" s="14" t="s">
        <v>498</v>
      </c>
      <c r="C158" s="17">
        <v>70</v>
      </c>
      <c r="D158" s="15" t="s">
        <v>222</v>
      </c>
      <c r="E158" s="15">
        <v>4.2</v>
      </c>
      <c r="F158" s="19">
        <f t="shared" si="2"/>
        <v>294</v>
      </c>
      <c r="G158" s="14" t="s">
        <v>684</v>
      </c>
    </row>
    <row r="159" spans="1:7" x14ac:dyDescent="0.25">
      <c r="A159" s="14" t="s">
        <v>685</v>
      </c>
      <c r="B159" s="14" t="s">
        <v>686</v>
      </c>
      <c r="C159" s="17">
        <v>70</v>
      </c>
      <c r="D159" s="15" t="s">
        <v>222</v>
      </c>
      <c r="E159" s="15">
        <v>0.86</v>
      </c>
      <c r="F159" s="19">
        <f t="shared" si="2"/>
        <v>60.199999999999996</v>
      </c>
      <c r="G159" s="14" t="s">
        <v>687</v>
      </c>
    </row>
    <row r="160" spans="1:7" x14ac:dyDescent="0.25">
      <c r="A160" s="14" t="s">
        <v>688</v>
      </c>
      <c r="B160" s="14" t="s">
        <v>584</v>
      </c>
      <c r="C160" s="17">
        <v>60</v>
      </c>
      <c r="D160" s="15" t="s">
        <v>222</v>
      </c>
      <c r="E160" s="15">
        <v>1.32</v>
      </c>
      <c r="F160" s="19">
        <f t="shared" si="2"/>
        <v>79.2</v>
      </c>
      <c r="G160" s="14" t="s">
        <v>689</v>
      </c>
    </row>
    <row r="161" spans="1:7" x14ac:dyDescent="0.25">
      <c r="A161" s="14" t="s">
        <v>690</v>
      </c>
      <c r="B161" s="14" t="s">
        <v>691</v>
      </c>
      <c r="C161" s="17">
        <v>60</v>
      </c>
      <c r="D161" s="15" t="s">
        <v>222</v>
      </c>
      <c r="E161" s="15">
        <v>0.76</v>
      </c>
      <c r="F161" s="19">
        <f t="shared" si="2"/>
        <v>45.6</v>
      </c>
      <c r="G161" s="14" t="s">
        <v>692</v>
      </c>
    </row>
    <row r="162" spans="1:7" x14ac:dyDescent="0.25">
      <c r="A162" s="14" t="s">
        <v>693</v>
      </c>
      <c r="B162" s="14" t="s">
        <v>694</v>
      </c>
      <c r="C162" s="17">
        <v>60</v>
      </c>
      <c r="D162" s="15" t="s">
        <v>222</v>
      </c>
      <c r="E162" s="15">
        <v>2.5150000000000001</v>
      </c>
      <c r="F162" s="19">
        <f t="shared" si="2"/>
        <v>150.9</v>
      </c>
      <c r="G162" s="14" t="s">
        <v>695</v>
      </c>
    </row>
    <row r="163" spans="1:7" x14ac:dyDescent="0.25">
      <c r="A163" s="14" t="s">
        <v>696</v>
      </c>
      <c r="B163" s="14" t="s">
        <v>697</v>
      </c>
      <c r="C163" s="17">
        <v>60</v>
      </c>
      <c r="D163" s="15" t="s">
        <v>222</v>
      </c>
      <c r="E163" s="15">
        <v>1.863</v>
      </c>
      <c r="F163" s="19">
        <f t="shared" si="2"/>
        <v>111.78</v>
      </c>
      <c r="G163" s="14" t="s">
        <v>698</v>
      </c>
    </row>
    <row r="164" spans="1:7" x14ac:dyDescent="0.25">
      <c r="A164" s="14" t="s">
        <v>699</v>
      </c>
      <c r="B164" s="14" t="s">
        <v>700</v>
      </c>
      <c r="C164" s="17">
        <v>60</v>
      </c>
      <c r="D164" s="15" t="s">
        <v>222</v>
      </c>
      <c r="E164" s="15">
        <v>5.6669999999999998</v>
      </c>
      <c r="F164" s="19">
        <f t="shared" si="2"/>
        <v>340.02</v>
      </c>
      <c r="G164" s="14" t="s">
        <v>701</v>
      </c>
    </row>
    <row r="165" spans="1:7" x14ac:dyDescent="0.25">
      <c r="A165" s="14" t="s">
        <v>702</v>
      </c>
      <c r="B165" s="14" t="s">
        <v>703</v>
      </c>
      <c r="C165" s="17">
        <v>60</v>
      </c>
      <c r="D165" s="15" t="s">
        <v>222</v>
      </c>
      <c r="E165" s="15">
        <v>0.60299999999999998</v>
      </c>
      <c r="F165" s="19">
        <f t="shared" si="2"/>
        <v>36.18</v>
      </c>
      <c r="G165" s="14" t="s">
        <v>704</v>
      </c>
    </row>
    <row r="166" spans="1:7" x14ac:dyDescent="0.25">
      <c r="A166" s="14" t="s">
        <v>705</v>
      </c>
      <c r="B166" s="14" t="s">
        <v>305</v>
      </c>
      <c r="C166" s="17">
        <v>60</v>
      </c>
      <c r="D166" s="15" t="s">
        <v>222</v>
      </c>
      <c r="E166" s="15">
        <v>1.335</v>
      </c>
      <c r="F166" s="19">
        <f t="shared" si="2"/>
        <v>80.099999999999994</v>
      </c>
      <c r="G166" s="14" t="s">
        <v>706</v>
      </c>
    </row>
    <row r="167" spans="1:7" x14ac:dyDescent="0.25">
      <c r="A167" s="14" t="s">
        <v>707</v>
      </c>
      <c r="B167" s="14" t="s">
        <v>344</v>
      </c>
      <c r="C167" s="17">
        <v>60</v>
      </c>
      <c r="D167" s="15" t="s">
        <v>222</v>
      </c>
      <c r="E167" s="15">
        <v>0.36199999999999999</v>
      </c>
      <c r="F167" s="19">
        <f t="shared" si="2"/>
        <v>21.72</v>
      </c>
      <c r="G167" s="14" t="s">
        <v>708</v>
      </c>
    </row>
    <row r="168" spans="1:7" x14ac:dyDescent="0.25">
      <c r="A168" s="14" t="s">
        <v>709</v>
      </c>
      <c r="B168" s="14" t="s">
        <v>369</v>
      </c>
      <c r="C168" s="17">
        <v>60</v>
      </c>
      <c r="D168" s="15" t="s">
        <v>222</v>
      </c>
      <c r="E168" s="15">
        <v>0.91300000000000003</v>
      </c>
      <c r="F168" s="19">
        <f t="shared" si="2"/>
        <v>54.78</v>
      </c>
      <c r="G168" s="14" t="s">
        <v>710</v>
      </c>
    </row>
    <row r="169" spans="1:7" x14ac:dyDescent="0.25">
      <c r="A169" s="14" t="s">
        <v>711</v>
      </c>
      <c r="B169" s="14" t="s">
        <v>712</v>
      </c>
      <c r="C169" s="17">
        <v>60</v>
      </c>
      <c r="D169" s="15" t="s">
        <v>222</v>
      </c>
      <c r="E169" s="15">
        <v>1.845</v>
      </c>
      <c r="F169" s="19">
        <f t="shared" si="2"/>
        <v>110.7</v>
      </c>
      <c r="G169" s="14" t="s">
        <v>713</v>
      </c>
    </row>
    <row r="170" spans="1:7" x14ac:dyDescent="0.25">
      <c r="A170" s="14" t="s">
        <v>714</v>
      </c>
      <c r="B170" s="14" t="s">
        <v>715</v>
      </c>
      <c r="C170" s="17">
        <v>50</v>
      </c>
      <c r="D170" s="15" t="s">
        <v>222</v>
      </c>
      <c r="E170" s="15">
        <v>0.751</v>
      </c>
      <c r="F170" s="19">
        <f t="shared" si="2"/>
        <v>37.549999999999997</v>
      </c>
      <c r="G170" s="14" t="s">
        <v>716</v>
      </c>
    </row>
    <row r="171" spans="1:7" x14ac:dyDescent="0.25">
      <c r="A171" s="14" t="s">
        <v>717</v>
      </c>
      <c r="B171" s="14" t="s">
        <v>718</v>
      </c>
      <c r="C171" s="17">
        <v>50</v>
      </c>
      <c r="D171" s="15" t="s">
        <v>222</v>
      </c>
      <c r="E171" s="15">
        <v>2.375</v>
      </c>
      <c r="F171" s="19">
        <f t="shared" si="2"/>
        <v>118.75</v>
      </c>
      <c r="G171" s="14" t="s">
        <v>719</v>
      </c>
    </row>
    <row r="172" spans="1:7" x14ac:dyDescent="0.25">
      <c r="A172" s="14" t="s">
        <v>720</v>
      </c>
      <c r="B172" s="14" t="s">
        <v>302</v>
      </c>
      <c r="C172" s="17">
        <v>50</v>
      </c>
      <c r="D172" s="15" t="s">
        <v>222</v>
      </c>
      <c r="E172" s="15">
        <v>2.4</v>
      </c>
      <c r="F172" s="19">
        <f t="shared" si="2"/>
        <v>120</v>
      </c>
      <c r="G172" s="14" t="s">
        <v>721</v>
      </c>
    </row>
    <row r="173" spans="1:7" x14ac:dyDescent="0.25">
      <c r="A173" s="14" t="s">
        <v>722</v>
      </c>
      <c r="B173" s="14" t="s">
        <v>305</v>
      </c>
      <c r="C173" s="17">
        <v>50</v>
      </c>
      <c r="D173" s="15" t="s">
        <v>222</v>
      </c>
      <c r="E173" s="15">
        <v>0.89700000000000002</v>
      </c>
      <c r="F173" s="19">
        <f t="shared" si="2"/>
        <v>44.85</v>
      </c>
      <c r="G173" s="14" t="s">
        <v>723</v>
      </c>
    </row>
    <row r="174" spans="1:7" x14ac:dyDescent="0.25">
      <c r="A174" s="14" t="s">
        <v>724</v>
      </c>
      <c r="B174" s="14" t="s">
        <v>326</v>
      </c>
      <c r="C174" s="17">
        <v>50</v>
      </c>
      <c r="D174" s="15" t="s">
        <v>222</v>
      </c>
      <c r="E174" s="15">
        <v>1.9</v>
      </c>
      <c r="F174" s="19">
        <f t="shared" si="2"/>
        <v>95</v>
      </c>
      <c r="G174" s="14" t="s">
        <v>725</v>
      </c>
    </row>
    <row r="175" spans="1:7" x14ac:dyDescent="0.25">
      <c r="A175" s="14" t="s">
        <v>726</v>
      </c>
      <c r="B175" s="14" t="s">
        <v>302</v>
      </c>
      <c r="C175" s="17">
        <v>50</v>
      </c>
      <c r="D175" s="15" t="s">
        <v>222</v>
      </c>
      <c r="E175" s="15">
        <v>3.64</v>
      </c>
      <c r="F175" s="19">
        <f t="shared" si="2"/>
        <v>182</v>
      </c>
      <c r="G175" s="14" t="s">
        <v>727</v>
      </c>
    </row>
    <row r="176" spans="1:7" x14ac:dyDescent="0.25">
      <c r="A176" s="14" t="s">
        <v>728</v>
      </c>
      <c r="B176" s="14" t="s">
        <v>295</v>
      </c>
      <c r="C176" s="17">
        <v>50</v>
      </c>
      <c r="D176" s="15" t="s">
        <v>222</v>
      </c>
      <c r="E176" s="15">
        <v>4.95</v>
      </c>
      <c r="F176" s="19">
        <f t="shared" si="2"/>
        <v>247.5</v>
      </c>
      <c r="G176" s="14" t="s">
        <v>729</v>
      </c>
    </row>
    <row r="177" spans="1:7" x14ac:dyDescent="0.25">
      <c r="A177" s="14" t="s">
        <v>730</v>
      </c>
      <c r="B177" s="14" t="s">
        <v>660</v>
      </c>
      <c r="C177" s="17">
        <v>50</v>
      </c>
      <c r="D177" s="15" t="s">
        <v>222</v>
      </c>
      <c r="E177" s="15">
        <v>1.9590000000000001</v>
      </c>
      <c r="F177" s="19">
        <f t="shared" si="2"/>
        <v>97.95</v>
      </c>
      <c r="G177" s="14" t="s">
        <v>731</v>
      </c>
    </row>
    <row r="178" spans="1:7" x14ac:dyDescent="0.25">
      <c r="A178" s="14" t="s">
        <v>732</v>
      </c>
      <c r="B178" s="14" t="s">
        <v>660</v>
      </c>
      <c r="C178" s="17">
        <v>50</v>
      </c>
      <c r="D178" s="15" t="s">
        <v>222</v>
      </c>
      <c r="E178" s="15">
        <v>3.4049999999999998</v>
      </c>
      <c r="F178" s="19">
        <f t="shared" si="2"/>
        <v>170.25</v>
      </c>
      <c r="G178" s="14" t="s">
        <v>733</v>
      </c>
    </row>
    <row r="179" spans="1:7" x14ac:dyDescent="0.25">
      <c r="A179" s="14" t="s">
        <v>734</v>
      </c>
      <c r="B179" s="14" t="s">
        <v>335</v>
      </c>
      <c r="C179" s="17">
        <v>50</v>
      </c>
      <c r="D179" s="15" t="s">
        <v>222</v>
      </c>
      <c r="E179" s="15">
        <v>3.8170000000000002</v>
      </c>
      <c r="F179" s="19">
        <f t="shared" si="2"/>
        <v>190.85000000000002</v>
      </c>
      <c r="G179" s="14" t="s">
        <v>735</v>
      </c>
    </row>
    <row r="180" spans="1:7" x14ac:dyDescent="0.25">
      <c r="A180" s="14" t="s">
        <v>736</v>
      </c>
      <c r="B180" s="14" t="s">
        <v>737</v>
      </c>
      <c r="C180" s="17">
        <v>50</v>
      </c>
      <c r="D180" s="15" t="s">
        <v>222</v>
      </c>
      <c r="E180" s="15">
        <v>4.53</v>
      </c>
      <c r="F180" s="19">
        <f t="shared" si="2"/>
        <v>226.5</v>
      </c>
      <c r="G180" s="14" t="s">
        <v>738</v>
      </c>
    </row>
    <row r="181" spans="1:7" x14ac:dyDescent="0.25">
      <c r="A181" s="14" t="s">
        <v>739</v>
      </c>
      <c r="B181" s="14" t="s">
        <v>403</v>
      </c>
      <c r="C181" s="17">
        <v>50</v>
      </c>
      <c r="D181" s="15" t="s">
        <v>222</v>
      </c>
      <c r="E181" s="15">
        <v>4.2350000000000003</v>
      </c>
      <c r="F181" s="19">
        <f t="shared" si="2"/>
        <v>211.75000000000003</v>
      </c>
      <c r="G181" s="14" t="s">
        <v>740</v>
      </c>
    </row>
    <row r="182" spans="1:7" x14ac:dyDescent="0.25">
      <c r="A182" s="14" t="s">
        <v>741</v>
      </c>
      <c r="B182" s="14" t="s">
        <v>742</v>
      </c>
      <c r="C182" s="17">
        <v>50</v>
      </c>
      <c r="D182" s="15" t="s">
        <v>222</v>
      </c>
      <c r="E182" s="15">
        <v>0.374</v>
      </c>
      <c r="F182" s="19">
        <f t="shared" si="2"/>
        <v>18.7</v>
      </c>
      <c r="G182" s="14" t="s">
        <v>743</v>
      </c>
    </row>
    <row r="183" spans="1:7" x14ac:dyDescent="0.25">
      <c r="A183" s="14" t="s">
        <v>744</v>
      </c>
      <c r="B183" s="14" t="s">
        <v>745</v>
      </c>
      <c r="C183" s="17">
        <v>50</v>
      </c>
      <c r="D183" s="15" t="s">
        <v>222</v>
      </c>
      <c r="E183" s="15">
        <v>0.66700000000000004</v>
      </c>
      <c r="F183" s="19">
        <f t="shared" si="2"/>
        <v>33.35</v>
      </c>
      <c r="G183" s="14" t="s">
        <v>746</v>
      </c>
    </row>
    <row r="184" spans="1:7" x14ac:dyDescent="0.25">
      <c r="A184" s="14" t="s">
        <v>747</v>
      </c>
      <c r="B184" s="14" t="s">
        <v>748</v>
      </c>
      <c r="C184" s="17">
        <v>50</v>
      </c>
      <c r="D184" s="15" t="s">
        <v>222</v>
      </c>
      <c r="E184" s="15">
        <v>5.56</v>
      </c>
      <c r="F184" s="19">
        <f t="shared" si="2"/>
        <v>278</v>
      </c>
      <c r="G184" s="14" t="s">
        <v>749</v>
      </c>
    </row>
    <row r="185" spans="1:7" x14ac:dyDescent="0.25">
      <c r="A185" s="14" t="s">
        <v>750</v>
      </c>
      <c r="B185" s="14" t="s">
        <v>751</v>
      </c>
      <c r="C185" s="17">
        <v>50</v>
      </c>
      <c r="D185" s="15" t="s">
        <v>222</v>
      </c>
      <c r="E185" s="15">
        <v>1.5920000000000001</v>
      </c>
      <c r="F185" s="19">
        <f t="shared" si="2"/>
        <v>79.600000000000009</v>
      </c>
      <c r="G185" s="14" t="s">
        <v>278</v>
      </c>
    </row>
    <row r="186" spans="1:7" x14ac:dyDescent="0.25">
      <c r="A186" s="14" t="s">
        <v>752</v>
      </c>
      <c r="B186" s="14" t="s">
        <v>751</v>
      </c>
      <c r="C186" s="17">
        <v>50</v>
      </c>
      <c r="D186" s="15" t="s">
        <v>222</v>
      </c>
      <c r="E186" s="15">
        <v>6.444</v>
      </c>
      <c r="F186" s="19">
        <f t="shared" si="2"/>
        <v>322.2</v>
      </c>
      <c r="G186" s="14" t="s">
        <v>753</v>
      </c>
    </row>
    <row r="187" spans="1:7" x14ac:dyDescent="0.25">
      <c r="A187" s="14" t="s">
        <v>266</v>
      </c>
      <c r="B187" s="14" t="s">
        <v>131</v>
      </c>
      <c r="C187" s="17">
        <v>50</v>
      </c>
      <c r="D187" s="15" t="s">
        <v>222</v>
      </c>
      <c r="E187" s="15">
        <v>0.48</v>
      </c>
      <c r="F187" s="19">
        <f t="shared" si="2"/>
        <v>24</v>
      </c>
      <c r="G187" s="14" t="s">
        <v>278</v>
      </c>
    </row>
    <row r="188" spans="1:7" x14ac:dyDescent="0.25">
      <c r="A188" s="14" t="s">
        <v>12</v>
      </c>
      <c r="B188" s="14" t="s">
        <v>116</v>
      </c>
      <c r="C188" s="17">
        <v>50</v>
      </c>
      <c r="D188" s="15" t="s">
        <v>222</v>
      </c>
      <c r="E188" s="15">
        <v>0.63300000000000001</v>
      </c>
      <c r="F188" s="19">
        <f t="shared" si="2"/>
        <v>31.65</v>
      </c>
      <c r="G188" s="14" t="s">
        <v>278</v>
      </c>
    </row>
    <row r="189" spans="1:7" x14ac:dyDescent="0.25">
      <c r="A189" s="14" t="s">
        <v>135</v>
      </c>
      <c r="B189" s="14" t="s">
        <v>92</v>
      </c>
      <c r="C189" s="17">
        <v>50</v>
      </c>
      <c r="D189" s="15" t="s">
        <v>222</v>
      </c>
      <c r="E189" s="15">
        <v>0.8</v>
      </c>
      <c r="F189" s="19">
        <f t="shared" si="2"/>
        <v>40</v>
      </c>
      <c r="G189" s="14" t="s">
        <v>754</v>
      </c>
    </row>
    <row r="190" spans="1:7" x14ac:dyDescent="0.25">
      <c r="A190" s="14" t="s">
        <v>755</v>
      </c>
      <c r="B190" s="14" t="s">
        <v>756</v>
      </c>
      <c r="C190" s="17">
        <v>50</v>
      </c>
      <c r="D190" s="15" t="s">
        <v>222</v>
      </c>
      <c r="E190" s="15">
        <v>0.94599999999999995</v>
      </c>
      <c r="F190" s="19">
        <f t="shared" si="2"/>
        <v>47.3</v>
      </c>
      <c r="G190" s="14" t="s">
        <v>757</v>
      </c>
    </row>
    <row r="191" spans="1:7" x14ac:dyDescent="0.25">
      <c r="A191" s="14" t="s">
        <v>758</v>
      </c>
      <c r="B191" s="14" t="s">
        <v>498</v>
      </c>
      <c r="C191" s="17">
        <v>50</v>
      </c>
      <c r="D191" s="15" t="s">
        <v>222</v>
      </c>
      <c r="E191" s="15">
        <v>1.06</v>
      </c>
      <c r="F191" s="19">
        <f t="shared" si="2"/>
        <v>53</v>
      </c>
      <c r="G191" s="14" t="s">
        <v>759</v>
      </c>
    </row>
    <row r="192" spans="1:7" x14ac:dyDescent="0.25">
      <c r="A192" s="14" t="s">
        <v>760</v>
      </c>
      <c r="B192" s="14" t="s">
        <v>318</v>
      </c>
      <c r="C192" s="17">
        <v>50</v>
      </c>
      <c r="D192" s="15" t="s">
        <v>222</v>
      </c>
      <c r="E192" s="15">
        <v>0.20899999999999999</v>
      </c>
      <c r="F192" s="19">
        <f t="shared" si="2"/>
        <v>10.45</v>
      </c>
      <c r="G192" s="14" t="s">
        <v>761</v>
      </c>
    </row>
    <row r="193" spans="1:7" x14ac:dyDescent="0.25">
      <c r="A193" s="14" t="s">
        <v>762</v>
      </c>
      <c r="B193" s="14" t="s">
        <v>296</v>
      </c>
      <c r="C193" s="17">
        <v>50</v>
      </c>
      <c r="D193" s="15" t="s">
        <v>222</v>
      </c>
      <c r="E193" s="15">
        <v>8.73</v>
      </c>
      <c r="F193" s="19">
        <f t="shared" si="2"/>
        <v>436.5</v>
      </c>
      <c r="G193" s="14" t="s">
        <v>763</v>
      </c>
    </row>
    <row r="194" spans="1:7" x14ac:dyDescent="0.25">
      <c r="A194" s="14" t="s">
        <v>764</v>
      </c>
      <c r="B194" s="14" t="s">
        <v>765</v>
      </c>
      <c r="C194" s="17">
        <v>50</v>
      </c>
      <c r="D194" s="15" t="s">
        <v>222</v>
      </c>
      <c r="E194" s="15">
        <v>18.86</v>
      </c>
      <c r="F194" s="19">
        <f t="shared" si="2"/>
        <v>943</v>
      </c>
      <c r="G194" s="14" t="s">
        <v>766</v>
      </c>
    </row>
    <row r="195" spans="1:7" x14ac:dyDescent="0.25">
      <c r="A195" s="14" t="s">
        <v>767</v>
      </c>
      <c r="B195" s="14" t="s">
        <v>768</v>
      </c>
      <c r="C195" s="17">
        <v>50</v>
      </c>
      <c r="D195" s="15" t="s">
        <v>222</v>
      </c>
      <c r="E195" s="15">
        <v>0.43099999999999999</v>
      </c>
      <c r="F195" s="19">
        <f t="shared" ref="F195:F258" si="3">C195*E195</f>
        <v>21.55</v>
      </c>
      <c r="G195" s="14" t="s">
        <v>769</v>
      </c>
    </row>
    <row r="196" spans="1:7" x14ac:dyDescent="0.25">
      <c r="A196" s="14" t="s">
        <v>770</v>
      </c>
      <c r="B196" s="14" t="s">
        <v>748</v>
      </c>
      <c r="C196" s="17">
        <v>50</v>
      </c>
      <c r="D196" s="15" t="s">
        <v>222</v>
      </c>
      <c r="E196" s="15">
        <v>7.4640000000000004</v>
      </c>
      <c r="F196" s="19">
        <f t="shared" si="3"/>
        <v>373.20000000000005</v>
      </c>
      <c r="G196" s="14" t="s">
        <v>771</v>
      </c>
    </row>
    <row r="197" spans="1:7" x14ac:dyDescent="0.25">
      <c r="A197" s="14" t="s">
        <v>772</v>
      </c>
      <c r="B197" s="14" t="s">
        <v>748</v>
      </c>
      <c r="C197" s="17">
        <v>50</v>
      </c>
      <c r="D197" s="15" t="s">
        <v>222</v>
      </c>
      <c r="E197" s="15">
        <v>2.7810000000000001</v>
      </c>
      <c r="F197" s="19">
        <f t="shared" si="3"/>
        <v>139.05000000000001</v>
      </c>
      <c r="G197" s="14" t="s">
        <v>773</v>
      </c>
    </row>
    <row r="198" spans="1:7" x14ac:dyDescent="0.25">
      <c r="A198" s="14" t="s">
        <v>774</v>
      </c>
      <c r="B198" s="14" t="s">
        <v>775</v>
      </c>
      <c r="C198" s="17">
        <v>50</v>
      </c>
      <c r="D198" s="15" t="s">
        <v>222</v>
      </c>
      <c r="E198" s="15">
        <v>0.82</v>
      </c>
      <c r="F198" s="19">
        <f t="shared" si="3"/>
        <v>41</v>
      </c>
      <c r="G198" s="14" t="s">
        <v>776</v>
      </c>
    </row>
    <row r="199" spans="1:7" x14ac:dyDescent="0.25">
      <c r="A199" s="14" t="s">
        <v>777</v>
      </c>
      <c r="B199" s="14" t="s">
        <v>778</v>
      </c>
      <c r="C199" s="17">
        <v>40</v>
      </c>
      <c r="D199" s="15" t="s">
        <v>222</v>
      </c>
      <c r="E199" s="15">
        <v>0.57699999999999996</v>
      </c>
      <c r="F199" s="19">
        <f t="shared" si="3"/>
        <v>23.08</v>
      </c>
      <c r="G199" s="14" t="s">
        <v>779</v>
      </c>
    </row>
    <row r="200" spans="1:7" x14ac:dyDescent="0.25">
      <c r="A200" s="14" t="s">
        <v>780</v>
      </c>
      <c r="B200" s="14" t="s">
        <v>781</v>
      </c>
      <c r="C200" s="17">
        <v>40</v>
      </c>
      <c r="D200" s="15" t="s">
        <v>222</v>
      </c>
      <c r="E200" s="15">
        <v>1.1839999999999999</v>
      </c>
      <c r="F200" s="19">
        <f t="shared" si="3"/>
        <v>47.36</v>
      </c>
      <c r="G200" s="14" t="s">
        <v>782</v>
      </c>
    </row>
    <row r="201" spans="1:7" x14ac:dyDescent="0.25">
      <c r="A201" s="14" t="s">
        <v>783</v>
      </c>
      <c r="B201" s="14" t="s">
        <v>784</v>
      </c>
      <c r="C201" s="17">
        <v>40</v>
      </c>
      <c r="D201" s="15" t="s">
        <v>222</v>
      </c>
      <c r="E201" s="15">
        <v>7.2350000000000003</v>
      </c>
      <c r="F201" s="19">
        <f t="shared" si="3"/>
        <v>289.40000000000003</v>
      </c>
      <c r="G201" s="14" t="s">
        <v>785</v>
      </c>
    </row>
    <row r="202" spans="1:7" x14ac:dyDescent="0.25">
      <c r="A202" s="14" t="s">
        <v>786</v>
      </c>
      <c r="B202" s="14" t="s">
        <v>694</v>
      </c>
      <c r="C202" s="17">
        <v>40</v>
      </c>
      <c r="D202" s="15" t="s">
        <v>222</v>
      </c>
      <c r="E202" s="15">
        <v>0.38400000000000001</v>
      </c>
      <c r="F202" s="19">
        <f t="shared" si="3"/>
        <v>15.36</v>
      </c>
      <c r="G202" s="14" t="s">
        <v>787</v>
      </c>
    </row>
    <row r="203" spans="1:7" x14ac:dyDescent="0.25">
      <c r="A203" s="14" t="s">
        <v>788</v>
      </c>
      <c r="B203" s="14" t="s">
        <v>694</v>
      </c>
      <c r="C203" s="17">
        <v>40</v>
      </c>
      <c r="D203" s="15" t="s">
        <v>222</v>
      </c>
      <c r="E203" s="15">
        <v>3.597</v>
      </c>
      <c r="F203" s="19">
        <f t="shared" si="3"/>
        <v>143.88</v>
      </c>
      <c r="G203" s="14" t="s">
        <v>789</v>
      </c>
    </row>
    <row r="204" spans="1:7" x14ac:dyDescent="0.25">
      <c r="A204" s="14" t="s">
        <v>790</v>
      </c>
      <c r="B204" s="14" t="s">
        <v>381</v>
      </c>
      <c r="C204" s="17">
        <v>40</v>
      </c>
      <c r="D204" s="15" t="s">
        <v>222</v>
      </c>
      <c r="E204" s="15">
        <v>10.597</v>
      </c>
      <c r="F204" s="19">
        <f t="shared" si="3"/>
        <v>423.88</v>
      </c>
      <c r="G204" s="14" t="s">
        <v>791</v>
      </c>
    </row>
    <row r="205" spans="1:7" x14ac:dyDescent="0.25">
      <c r="A205" s="14" t="s">
        <v>792</v>
      </c>
      <c r="B205" s="14" t="s">
        <v>751</v>
      </c>
      <c r="C205" s="17">
        <v>40</v>
      </c>
      <c r="D205" s="15" t="s">
        <v>222</v>
      </c>
      <c r="E205" s="15">
        <v>1.6639999999999999</v>
      </c>
      <c r="F205" s="19">
        <f t="shared" si="3"/>
        <v>66.56</v>
      </c>
      <c r="G205" s="14" t="s">
        <v>793</v>
      </c>
    </row>
    <row r="206" spans="1:7" x14ac:dyDescent="0.25">
      <c r="A206" s="14" t="s">
        <v>794</v>
      </c>
      <c r="B206" s="14" t="s">
        <v>795</v>
      </c>
      <c r="C206" s="17">
        <v>40</v>
      </c>
      <c r="D206" s="15" t="s">
        <v>222</v>
      </c>
      <c r="E206" s="15">
        <v>4.7119999999999997</v>
      </c>
      <c r="F206" s="19">
        <f t="shared" si="3"/>
        <v>188.48</v>
      </c>
      <c r="G206" s="14" t="s">
        <v>796</v>
      </c>
    </row>
    <row r="207" spans="1:7" x14ac:dyDescent="0.25">
      <c r="A207" s="14" t="s">
        <v>797</v>
      </c>
      <c r="B207" s="14" t="s">
        <v>751</v>
      </c>
      <c r="C207" s="17">
        <v>40</v>
      </c>
      <c r="D207" s="15" t="s">
        <v>222</v>
      </c>
      <c r="E207" s="15">
        <v>4.7119999999999997</v>
      </c>
      <c r="F207" s="19">
        <f t="shared" si="3"/>
        <v>188.48</v>
      </c>
      <c r="G207" s="14" t="s">
        <v>798</v>
      </c>
    </row>
    <row r="208" spans="1:7" x14ac:dyDescent="0.25">
      <c r="A208" s="14" t="s">
        <v>799</v>
      </c>
      <c r="B208" s="14" t="s">
        <v>338</v>
      </c>
      <c r="C208" s="17">
        <v>40</v>
      </c>
      <c r="D208" s="15" t="s">
        <v>222</v>
      </c>
      <c r="E208" s="15">
        <v>2.4980000000000002</v>
      </c>
      <c r="F208" s="19">
        <f t="shared" si="3"/>
        <v>99.920000000000016</v>
      </c>
      <c r="G208" s="14" t="s">
        <v>800</v>
      </c>
    </row>
    <row r="209" spans="1:7" x14ac:dyDescent="0.25">
      <c r="A209" s="14" t="s">
        <v>801</v>
      </c>
      <c r="B209" s="14" t="s">
        <v>802</v>
      </c>
      <c r="C209" s="17">
        <v>40</v>
      </c>
      <c r="D209" s="15" t="s">
        <v>222</v>
      </c>
      <c r="E209" s="15">
        <v>3.431</v>
      </c>
      <c r="F209" s="19">
        <f t="shared" si="3"/>
        <v>137.24</v>
      </c>
      <c r="G209" s="14" t="s">
        <v>803</v>
      </c>
    </row>
    <row r="210" spans="1:7" x14ac:dyDescent="0.25">
      <c r="A210" s="14" t="s">
        <v>804</v>
      </c>
      <c r="B210" s="14" t="s">
        <v>718</v>
      </c>
      <c r="C210" s="17">
        <v>40</v>
      </c>
      <c r="D210" s="15" t="s">
        <v>222</v>
      </c>
      <c r="E210" s="15">
        <v>0.45</v>
      </c>
      <c r="F210" s="19">
        <f t="shared" si="3"/>
        <v>18</v>
      </c>
      <c r="G210" s="14" t="s">
        <v>805</v>
      </c>
    </row>
    <row r="211" spans="1:7" x14ac:dyDescent="0.25">
      <c r="A211" s="14" t="s">
        <v>806</v>
      </c>
      <c r="B211" s="14" t="s">
        <v>466</v>
      </c>
      <c r="C211" s="17">
        <v>40</v>
      </c>
      <c r="D211" s="15" t="s">
        <v>222</v>
      </c>
      <c r="E211" s="15">
        <v>0.99</v>
      </c>
      <c r="F211" s="19">
        <f t="shared" si="3"/>
        <v>39.6</v>
      </c>
      <c r="G211" s="14" t="s">
        <v>807</v>
      </c>
    </row>
    <row r="212" spans="1:7" x14ac:dyDescent="0.25">
      <c r="A212" s="14" t="s">
        <v>808</v>
      </c>
      <c r="B212" s="14" t="s">
        <v>466</v>
      </c>
      <c r="C212" s="17">
        <v>40</v>
      </c>
      <c r="D212" s="15" t="s">
        <v>222</v>
      </c>
      <c r="E212" s="15">
        <v>0.46</v>
      </c>
      <c r="F212" s="19">
        <f t="shared" si="3"/>
        <v>18.400000000000002</v>
      </c>
      <c r="G212" s="14" t="s">
        <v>809</v>
      </c>
    </row>
    <row r="213" spans="1:7" x14ac:dyDescent="0.25">
      <c r="A213" s="14" t="s">
        <v>810</v>
      </c>
      <c r="B213" s="14" t="s">
        <v>703</v>
      </c>
      <c r="C213" s="17">
        <v>40</v>
      </c>
      <c r="D213" s="15" t="s">
        <v>222</v>
      </c>
      <c r="E213" s="15">
        <v>1.466</v>
      </c>
      <c r="F213" s="19">
        <f t="shared" si="3"/>
        <v>58.64</v>
      </c>
      <c r="G213" s="14" t="s">
        <v>811</v>
      </c>
    </row>
    <row r="214" spans="1:7" x14ac:dyDescent="0.25">
      <c r="A214" s="14" t="s">
        <v>812</v>
      </c>
      <c r="B214" s="14" t="s">
        <v>308</v>
      </c>
      <c r="C214" s="17">
        <v>40</v>
      </c>
      <c r="D214" s="15" t="s">
        <v>222</v>
      </c>
      <c r="E214" s="15">
        <v>2.6760000000000002</v>
      </c>
      <c r="F214" s="19">
        <f t="shared" si="3"/>
        <v>107.04</v>
      </c>
      <c r="G214" s="14" t="s">
        <v>813</v>
      </c>
    </row>
    <row r="215" spans="1:7" x14ac:dyDescent="0.25">
      <c r="A215" s="14" t="s">
        <v>814</v>
      </c>
      <c r="B215" s="14" t="s">
        <v>815</v>
      </c>
      <c r="C215" s="17">
        <v>40</v>
      </c>
      <c r="D215" s="15" t="s">
        <v>222</v>
      </c>
      <c r="E215" s="15">
        <v>0.9</v>
      </c>
      <c r="F215" s="19">
        <f t="shared" si="3"/>
        <v>36</v>
      </c>
      <c r="G215" s="14" t="s">
        <v>816</v>
      </c>
    </row>
    <row r="216" spans="1:7" x14ac:dyDescent="0.25">
      <c r="A216" s="14" t="s">
        <v>817</v>
      </c>
      <c r="B216" s="14" t="s">
        <v>686</v>
      </c>
      <c r="C216" s="17">
        <v>40</v>
      </c>
      <c r="D216" s="15" t="s">
        <v>222</v>
      </c>
      <c r="E216" s="15">
        <v>2</v>
      </c>
      <c r="F216" s="19">
        <f t="shared" si="3"/>
        <v>80</v>
      </c>
      <c r="G216" s="14" t="s">
        <v>818</v>
      </c>
    </row>
    <row r="217" spans="1:7" x14ac:dyDescent="0.25">
      <c r="A217" s="14" t="s">
        <v>819</v>
      </c>
      <c r="B217" s="14" t="s">
        <v>820</v>
      </c>
      <c r="C217" s="17">
        <v>40</v>
      </c>
      <c r="D217" s="15" t="s">
        <v>222</v>
      </c>
      <c r="E217" s="15">
        <v>2.2050000000000001</v>
      </c>
      <c r="F217" s="19">
        <f t="shared" si="3"/>
        <v>88.2</v>
      </c>
      <c r="G217" s="14" t="s">
        <v>821</v>
      </c>
    </row>
    <row r="218" spans="1:7" x14ac:dyDescent="0.25">
      <c r="A218" s="14" t="s">
        <v>822</v>
      </c>
      <c r="B218" s="14" t="s">
        <v>823</v>
      </c>
      <c r="C218" s="17">
        <v>30</v>
      </c>
      <c r="D218" s="15" t="s">
        <v>222</v>
      </c>
      <c r="E218" s="15">
        <v>0.17399999999999999</v>
      </c>
      <c r="F218" s="19">
        <f t="shared" si="3"/>
        <v>5.22</v>
      </c>
      <c r="G218" s="14" t="s">
        <v>824</v>
      </c>
    </row>
    <row r="219" spans="1:7" x14ac:dyDescent="0.25">
      <c r="A219" s="14" t="s">
        <v>825</v>
      </c>
      <c r="B219" s="14" t="s">
        <v>826</v>
      </c>
      <c r="C219" s="17">
        <v>30</v>
      </c>
      <c r="D219" s="15" t="s">
        <v>222</v>
      </c>
      <c r="E219" s="15">
        <v>0.36299999999999999</v>
      </c>
      <c r="F219" s="19">
        <f t="shared" si="3"/>
        <v>10.89</v>
      </c>
      <c r="G219" s="14" t="s">
        <v>827</v>
      </c>
    </row>
    <row r="220" spans="1:7" x14ac:dyDescent="0.25">
      <c r="A220" s="14" t="s">
        <v>828</v>
      </c>
      <c r="B220" s="14" t="s">
        <v>481</v>
      </c>
      <c r="C220" s="17">
        <v>30</v>
      </c>
      <c r="D220" s="15" t="s">
        <v>222</v>
      </c>
      <c r="E220" s="15">
        <v>3.8170000000000002</v>
      </c>
      <c r="F220" s="19">
        <f t="shared" si="3"/>
        <v>114.51</v>
      </c>
      <c r="G220" s="14" t="s">
        <v>829</v>
      </c>
    </row>
    <row r="221" spans="1:7" x14ac:dyDescent="0.25">
      <c r="A221" s="14" t="s">
        <v>830</v>
      </c>
      <c r="B221" s="14" t="s">
        <v>308</v>
      </c>
      <c r="C221" s="17">
        <v>30</v>
      </c>
      <c r="D221" s="15" t="s">
        <v>222</v>
      </c>
      <c r="E221" s="15">
        <v>5.367</v>
      </c>
      <c r="F221" s="19">
        <f t="shared" si="3"/>
        <v>161.01</v>
      </c>
      <c r="G221" s="14" t="s">
        <v>831</v>
      </c>
    </row>
    <row r="222" spans="1:7" x14ac:dyDescent="0.25">
      <c r="A222" s="14" t="s">
        <v>832</v>
      </c>
      <c r="B222" s="14" t="s">
        <v>313</v>
      </c>
      <c r="C222" s="17">
        <v>30</v>
      </c>
      <c r="D222" s="15" t="s">
        <v>222</v>
      </c>
      <c r="E222" s="15">
        <v>1.26</v>
      </c>
      <c r="F222" s="19">
        <f t="shared" si="3"/>
        <v>37.799999999999997</v>
      </c>
      <c r="G222" s="14" t="s">
        <v>833</v>
      </c>
    </row>
    <row r="223" spans="1:7" x14ac:dyDescent="0.25">
      <c r="A223" s="14" t="s">
        <v>834</v>
      </c>
      <c r="B223" s="14" t="s">
        <v>835</v>
      </c>
      <c r="C223" s="17">
        <v>30</v>
      </c>
      <c r="D223" s="15" t="s">
        <v>222</v>
      </c>
      <c r="E223" s="15">
        <v>2.7</v>
      </c>
      <c r="F223" s="19">
        <f t="shared" si="3"/>
        <v>81</v>
      </c>
      <c r="G223" s="14" t="s">
        <v>836</v>
      </c>
    </row>
    <row r="224" spans="1:7" x14ac:dyDescent="0.25">
      <c r="A224" s="14" t="s">
        <v>837</v>
      </c>
      <c r="B224" s="14" t="s">
        <v>838</v>
      </c>
      <c r="C224" s="17">
        <v>24</v>
      </c>
      <c r="D224" s="15" t="s">
        <v>222</v>
      </c>
      <c r="E224" s="15">
        <v>0.5</v>
      </c>
      <c r="F224" s="19">
        <f t="shared" si="3"/>
        <v>12</v>
      </c>
      <c r="G224" s="14" t="s">
        <v>839</v>
      </c>
    </row>
    <row r="225" spans="1:7" x14ac:dyDescent="0.25">
      <c r="A225" s="14" t="s">
        <v>840</v>
      </c>
      <c r="B225" s="14" t="s">
        <v>841</v>
      </c>
      <c r="C225" s="17">
        <v>20</v>
      </c>
      <c r="D225" s="15" t="s">
        <v>222</v>
      </c>
      <c r="E225" s="15">
        <v>0.46200000000000002</v>
      </c>
      <c r="F225" s="19">
        <f t="shared" si="3"/>
        <v>9.24</v>
      </c>
      <c r="G225" s="14" t="s">
        <v>496</v>
      </c>
    </row>
    <row r="226" spans="1:7" x14ac:dyDescent="0.25">
      <c r="A226" s="14" t="s">
        <v>842</v>
      </c>
      <c r="B226" s="14" t="s">
        <v>843</v>
      </c>
      <c r="C226" s="17">
        <v>20</v>
      </c>
      <c r="D226" s="15" t="s">
        <v>222</v>
      </c>
      <c r="E226" s="15">
        <v>0.95699999999999996</v>
      </c>
      <c r="F226" s="19">
        <f t="shared" si="3"/>
        <v>19.14</v>
      </c>
      <c r="G226" s="14" t="s">
        <v>844</v>
      </c>
    </row>
    <row r="227" spans="1:7" x14ac:dyDescent="0.25">
      <c r="A227" s="14" t="s">
        <v>845</v>
      </c>
      <c r="B227" s="14" t="s">
        <v>846</v>
      </c>
      <c r="C227" s="17">
        <v>20</v>
      </c>
      <c r="D227" s="15" t="s">
        <v>222</v>
      </c>
      <c r="E227" s="15">
        <v>0.32100000000000001</v>
      </c>
      <c r="F227" s="19">
        <f t="shared" si="3"/>
        <v>6.42</v>
      </c>
      <c r="G227" s="14" t="s">
        <v>530</v>
      </c>
    </row>
    <row r="228" spans="1:7" x14ac:dyDescent="0.25">
      <c r="A228" s="14" t="s">
        <v>847</v>
      </c>
      <c r="B228" s="14" t="s">
        <v>594</v>
      </c>
      <c r="C228" s="17">
        <v>20</v>
      </c>
      <c r="D228" s="15" t="s">
        <v>222</v>
      </c>
      <c r="E228" s="15">
        <v>0.85699999999999998</v>
      </c>
      <c r="F228" s="19">
        <f t="shared" si="3"/>
        <v>17.14</v>
      </c>
      <c r="G228" s="14" t="s">
        <v>848</v>
      </c>
    </row>
    <row r="229" spans="1:7" x14ac:dyDescent="0.25">
      <c r="A229" s="14" t="s">
        <v>849</v>
      </c>
      <c r="B229" s="14" t="s">
        <v>718</v>
      </c>
      <c r="C229" s="17">
        <v>20</v>
      </c>
      <c r="D229" s="15" t="s">
        <v>222</v>
      </c>
      <c r="E229" s="15">
        <v>0.88</v>
      </c>
      <c r="F229" s="19">
        <f t="shared" si="3"/>
        <v>17.600000000000001</v>
      </c>
      <c r="G229" s="14" t="s">
        <v>850</v>
      </c>
    </row>
    <row r="230" spans="1:7" x14ac:dyDescent="0.25">
      <c r="A230" s="14" t="s">
        <v>851</v>
      </c>
      <c r="B230" s="14" t="s">
        <v>718</v>
      </c>
      <c r="C230" s="17">
        <v>20</v>
      </c>
      <c r="D230" s="15" t="s">
        <v>222</v>
      </c>
      <c r="E230" s="15">
        <v>6.47</v>
      </c>
      <c r="F230" s="19">
        <f t="shared" si="3"/>
        <v>129.4</v>
      </c>
      <c r="G230" s="14" t="s">
        <v>852</v>
      </c>
    </row>
    <row r="231" spans="1:7" x14ac:dyDescent="0.25">
      <c r="A231" s="14" t="s">
        <v>853</v>
      </c>
      <c r="B231" s="14" t="s">
        <v>655</v>
      </c>
      <c r="C231" s="17">
        <v>20</v>
      </c>
      <c r="D231" s="15" t="s">
        <v>222</v>
      </c>
      <c r="E231" s="15">
        <v>1.4630000000000001</v>
      </c>
      <c r="F231" s="19">
        <f t="shared" si="3"/>
        <v>29.26</v>
      </c>
      <c r="G231" s="14" t="s">
        <v>854</v>
      </c>
    </row>
    <row r="232" spans="1:7" x14ac:dyDescent="0.25">
      <c r="A232" s="14" t="s">
        <v>855</v>
      </c>
      <c r="B232" s="14" t="s">
        <v>466</v>
      </c>
      <c r="C232" s="17">
        <v>20</v>
      </c>
      <c r="D232" s="15" t="s">
        <v>222</v>
      </c>
      <c r="E232" s="15">
        <v>0.52</v>
      </c>
      <c r="F232" s="19">
        <f t="shared" si="3"/>
        <v>10.4</v>
      </c>
      <c r="G232" s="14" t="s">
        <v>856</v>
      </c>
    </row>
    <row r="233" spans="1:7" x14ac:dyDescent="0.25">
      <c r="A233" s="14" t="s">
        <v>857</v>
      </c>
      <c r="B233" s="14" t="s">
        <v>321</v>
      </c>
      <c r="C233" s="17">
        <v>20</v>
      </c>
      <c r="D233" s="15" t="s">
        <v>222</v>
      </c>
      <c r="E233" s="15">
        <v>0.81499999999999995</v>
      </c>
      <c r="F233" s="19">
        <f t="shared" si="3"/>
        <v>16.299999999999997</v>
      </c>
      <c r="G233" s="14" t="s">
        <v>858</v>
      </c>
    </row>
    <row r="234" spans="1:7" x14ac:dyDescent="0.25">
      <c r="A234" s="14" t="s">
        <v>859</v>
      </c>
      <c r="B234" s="14" t="s">
        <v>703</v>
      </c>
      <c r="C234" s="17">
        <v>20</v>
      </c>
      <c r="D234" s="15" t="s">
        <v>222</v>
      </c>
      <c r="E234" s="15">
        <v>0.77</v>
      </c>
      <c r="F234" s="19">
        <f t="shared" si="3"/>
        <v>15.4</v>
      </c>
      <c r="G234" s="14" t="s">
        <v>860</v>
      </c>
    </row>
    <row r="235" spans="1:7" x14ac:dyDescent="0.25">
      <c r="A235" s="14" t="s">
        <v>861</v>
      </c>
      <c r="B235" s="14" t="s">
        <v>703</v>
      </c>
      <c r="C235" s="17">
        <v>20</v>
      </c>
      <c r="D235" s="15" t="s">
        <v>222</v>
      </c>
      <c r="E235" s="15">
        <v>0.76</v>
      </c>
      <c r="F235" s="19">
        <f t="shared" si="3"/>
        <v>15.2</v>
      </c>
      <c r="G235" s="14" t="s">
        <v>862</v>
      </c>
    </row>
    <row r="236" spans="1:7" x14ac:dyDescent="0.25">
      <c r="A236" s="14" t="s">
        <v>863</v>
      </c>
      <c r="B236" s="14" t="s">
        <v>302</v>
      </c>
      <c r="C236" s="17">
        <v>20</v>
      </c>
      <c r="D236" s="15" t="s">
        <v>222</v>
      </c>
      <c r="E236" s="15">
        <v>0.61299999999999999</v>
      </c>
      <c r="F236" s="19">
        <f t="shared" si="3"/>
        <v>12.26</v>
      </c>
      <c r="G236" s="14" t="s">
        <v>864</v>
      </c>
    </row>
    <row r="237" spans="1:7" x14ac:dyDescent="0.25">
      <c r="A237" s="14" t="s">
        <v>865</v>
      </c>
      <c r="B237" s="14" t="s">
        <v>302</v>
      </c>
      <c r="C237" s="17">
        <v>20</v>
      </c>
      <c r="D237" s="15" t="s">
        <v>222</v>
      </c>
      <c r="E237" s="15">
        <v>1.9890000000000001</v>
      </c>
      <c r="F237" s="19">
        <f t="shared" si="3"/>
        <v>39.78</v>
      </c>
      <c r="G237" s="14" t="s">
        <v>866</v>
      </c>
    </row>
    <row r="238" spans="1:7" x14ac:dyDescent="0.25">
      <c r="A238" s="14" t="s">
        <v>867</v>
      </c>
      <c r="B238" s="14" t="s">
        <v>302</v>
      </c>
      <c r="C238" s="17">
        <v>20</v>
      </c>
      <c r="D238" s="15" t="s">
        <v>222</v>
      </c>
      <c r="E238" s="15">
        <v>2.0630000000000002</v>
      </c>
      <c r="F238" s="19">
        <f t="shared" si="3"/>
        <v>41.260000000000005</v>
      </c>
      <c r="G238" s="14" t="s">
        <v>868</v>
      </c>
    </row>
    <row r="239" spans="1:7" x14ac:dyDescent="0.25">
      <c r="A239" s="14" t="s">
        <v>869</v>
      </c>
      <c r="B239" s="14" t="s">
        <v>302</v>
      </c>
      <c r="C239" s="17">
        <v>20</v>
      </c>
      <c r="D239" s="15" t="s">
        <v>222</v>
      </c>
      <c r="E239" s="15">
        <v>3.5139999999999998</v>
      </c>
      <c r="F239" s="19">
        <f t="shared" si="3"/>
        <v>70.28</v>
      </c>
      <c r="G239" s="14" t="s">
        <v>870</v>
      </c>
    </row>
    <row r="240" spans="1:7" x14ac:dyDescent="0.25">
      <c r="A240" s="14" t="s">
        <v>871</v>
      </c>
      <c r="B240" s="14" t="s">
        <v>305</v>
      </c>
      <c r="C240" s="17">
        <v>20</v>
      </c>
      <c r="D240" s="15" t="s">
        <v>222</v>
      </c>
      <c r="E240" s="15">
        <v>1.73</v>
      </c>
      <c r="F240" s="19">
        <f t="shared" si="3"/>
        <v>34.6</v>
      </c>
      <c r="G240" s="14" t="s">
        <v>872</v>
      </c>
    </row>
    <row r="241" spans="1:7" x14ac:dyDescent="0.25">
      <c r="A241" s="14" t="s">
        <v>873</v>
      </c>
      <c r="B241" s="14" t="s">
        <v>305</v>
      </c>
      <c r="C241" s="17">
        <v>20</v>
      </c>
      <c r="D241" s="15" t="s">
        <v>222</v>
      </c>
      <c r="E241" s="15">
        <v>4.2590000000000003</v>
      </c>
      <c r="F241" s="19">
        <f t="shared" si="3"/>
        <v>85.18</v>
      </c>
      <c r="G241" s="14" t="s">
        <v>874</v>
      </c>
    </row>
    <row r="242" spans="1:7" x14ac:dyDescent="0.25">
      <c r="A242" s="14" t="s">
        <v>875</v>
      </c>
      <c r="B242" s="14" t="s">
        <v>305</v>
      </c>
      <c r="C242" s="17">
        <v>20</v>
      </c>
      <c r="D242" s="15" t="s">
        <v>222</v>
      </c>
      <c r="E242" s="15">
        <v>4.1760000000000002</v>
      </c>
      <c r="F242" s="19">
        <f t="shared" si="3"/>
        <v>83.52000000000001</v>
      </c>
      <c r="G242" s="14" t="s">
        <v>876</v>
      </c>
    </row>
    <row r="243" spans="1:7" x14ac:dyDescent="0.25">
      <c r="A243" s="14" t="s">
        <v>877</v>
      </c>
      <c r="B243" s="14" t="s">
        <v>326</v>
      </c>
      <c r="C243" s="17">
        <v>20</v>
      </c>
      <c r="D243" s="15" t="s">
        <v>222</v>
      </c>
      <c r="E243" s="15">
        <v>1.127</v>
      </c>
      <c r="F243" s="19">
        <f t="shared" si="3"/>
        <v>22.54</v>
      </c>
      <c r="G243" s="14" t="s">
        <v>878</v>
      </c>
    </row>
    <row r="244" spans="1:7" x14ac:dyDescent="0.25">
      <c r="A244" s="14" t="s">
        <v>879</v>
      </c>
      <c r="B244" s="14" t="s">
        <v>326</v>
      </c>
      <c r="C244" s="17">
        <v>20</v>
      </c>
      <c r="D244" s="15" t="s">
        <v>222</v>
      </c>
      <c r="E244" s="15">
        <v>2.5790000000000002</v>
      </c>
      <c r="F244" s="19">
        <f t="shared" si="3"/>
        <v>51.580000000000005</v>
      </c>
      <c r="G244" s="14" t="s">
        <v>880</v>
      </c>
    </row>
    <row r="245" spans="1:7" x14ac:dyDescent="0.25">
      <c r="A245" s="14" t="s">
        <v>881</v>
      </c>
      <c r="B245" s="14" t="s">
        <v>326</v>
      </c>
      <c r="C245" s="17">
        <v>20</v>
      </c>
      <c r="D245" s="15" t="s">
        <v>222</v>
      </c>
      <c r="E245" s="15">
        <v>4.1760000000000002</v>
      </c>
      <c r="F245" s="19">
        <f t="shared" si="3"/>
        <v>83.52000000000001</v>
      </c>
      <c r="G245" s="14" t="s">
        <v>882</v>
      </c>
    </row>
    <row r="246" spans="1:7" x14ac:dyDescent="0.25">
      <c r="A246" s="14" t="s">
        <v>883</v>
      </c>
      <c r="B246" s="14" t="s">
        <v>326</v>
      </c>
      <c r="C246" s="17">
        <v>20</v>
      </c>
      <c r="D246" s="15" t="s">
        <v>222</v>
      </c>
      <c r="E246" s="15">
        <v>4.3079999999999998</v>
      </c>
      <c r="F246" s="19">
        <f t="shared" si="3"/>
        <v>86.16</v>
      </c>
      <c r="G246" s="14" t="s">
        <v>884</v>
      </c>
    </row>
    <row r="247" spans="1:7" x14ac:dyDescent="0.25">
      <c r="A247" s="14" t="s">
        <v>885</v>
      </c>
      <c r="B247" s="14" t="s">
        <v>886</v>
      </c>
      <c r="C247" s="17">
        <v>20</v>
      </c>
      <c r="D247" s="15" t="s">
        <v>222</v>
      </c>
      <c r="E247" s="15">
        <v>2.0630000000000002</v>
      </c>
      <c r="F247" s="19">
        <f t="shared" si="3"/>
        <v>41.260000000000005</v>
      </c>
      <c r="G247" s="14" t="s">
        <v>887</v>
      </c>
    </row>
    <row r="248" spans="1:7" x14ac:dyDescent="0.25">
      <c r="A248" s="14" t="s">
        <v>888</v>
      </c>
      <c r="B248" s="14" t="s">
        <v>251</v>
      </c>
      <c r="C248" s="17">
        <v>20</v>
      </c>
      <c r="D248" s="15" t="s">
        <v>222</v>
      </c>
      <c r="E248" s="15">
        <v>0.6</v>
      </c>
      <c r="F248" s="19">
        <f t="shared" si="3"/>
        <v>12</v>
      </c>
      <c r="G248" s="14" t="s">
        <v>889</v>
      </c>
    </row>
    <row r="249" spans="1:7" x14ac:dyDescent="0.25">
      <c r="A249" s="14" t="s">
        <v>890</v>
      </c>
      <c r="B249" s="14" t="s">
        <v>891</v>
      </c>
      <c r="C249" s="17">
        <v>20</v>
      </c>
      <c r="D249" s="15" t="s">
        <v>222</v>
      </c>
      <c r="E249" s="15">
        <v>0.9</v>
      </c>
      <c r="F249" s="19">
        <f t="shared" si="3"/>
        <v>18</v>
      </c>
      <c r="G249" s="14" t="s">
        <v>892</v>
      </c>
    </row>
    <row r="250" spans="1:7" x14ac:dyDescent="0.25">
      <c r="A250" s="14" t="s">
        <v>893</v>
      </c>
      <c r="B250" s="14" t="s">
        <v>894</v>
      </c>
      <c r="C250" s="17">
        <v>20</v>
      </c>
      <c r="D250" s="15" t="s">
        <v>222</v>
      </c>
      <c r="E250" s="15">
        <v>0.6</v>
      </c>
      <c r="F250" s="19">
        <f t="shared" si="3"/>
        <v>12</v>
      </c>
      <c r="G250" s="14" t="s">
        <v>895</v>
      </c>
    </row>
    <row r="251" spans="1:7" x14ac:dyDescent="0.25">
      <c r="A251" s="14" t="s">
        <v>896</v>
      </c>
      <c r="B251" s="14" t="s">
        <v>302</v>
      </c>
      <c r="C251" s="17">
        <v>20</v>
      </c>
      <c r="D251" s="15" t="s">
        <v>222</v>
      </c>
      <c r="E251" s="15">
        <v>1.7949999999999999</v>
      </c>
      <c r="F251" s="19">
        <f t="shared" si="3"/>
        <v>35.9</v>
      </c>
      <c r="G251" s="14" t="s">
        <v>897</v>
      </c>
    </row>
    <row r="252" spans="1:7" x14ac:dyDescent="0.25">
      <c r="A252" s="14" t="s">
        <v>898</v>
      </c>
      <c r="B252" s="14" t="s">
        <v>308</v>
      </c>
      <c r="C252" s="17">
        <v>20</v>
      </c>
      <c r="D252" s="15" t="s">
        <v>222</v>
      </c>
      <c r="E252" s="15">
        <v>2.6760000000000002</v>
      </c>
      <c r="F252" s="19">
        <f t="shared" si="3"/>
        <v>53.52</v>
      </c>
      <c r="G252" s="14" t="s">
        <v>899</v>
      </c>
    </row>
    <row r="253" spans="1:7" x14ac:dyDescent="0.25">
      <c r="A253" s="14" t="s">
        <v>900</v>
      </c>
      <c r="B253" s="14" t="s">
        <v>660</v>
      </c>
      <c r="C253" s="17">
        <v>20</v>
      </c>
      <c r="D253" s="15" t="s">
        <v>222</v>
      </c>
      <c r="E253" s="15">
        <v>1.03</v>
      </c>
      <c r="F253" s="19">
        <f t="shared" si="3"/>
        <v>20.6</v>
      </c>
      <c r="G253" s="14" t="s">
        <v>901</v>
      </c>
    </row>
    <row r="254" spans="1:7" x14ac:dyDescent="0.25">
      <c r="A254" s="14" t="s">
        <v>902</v>
      </c>
      <c r="B254" s="14" t="s">
        <v>660</v>
      </c>
      <c r="C254" s="17">
        <v>20</v>
      </c>
      <c r="D254" s="15" t="s">
        <v>222</v>
      </c>
      <c r="E254" s="15">
        <v>3.4049999999999998</v>
      </c>
      <c r="F254" s="19">
        <f t="shared" si="3"/>
        <v>68.099999999999994</v>
      </c>
      <c r="G254" s="14" t="s">
        <v>903</v>
      </c>
    </row>
    <row r="255" spans="1:7" x14ac:dyDescent="0.25">
      <c r="A255" s="14" t="s">
        <v>904</v>
      </c>
      <c r="B255" s="14" t="s">
        <v>660</v>
      </c>
      <c r="C255" s="17">
        <v>20</v>
      </c>
      <c r="D255" s="15" t="s">
        <v>222</v>
      </c>
      <c r="E255" s="15">
        <v>6.6029999999999998</v>
      </c>
      <c r="F255" s="19">
        <f t="shared" si="3"/>
        <v>132.06</v>
      </c>
      <c r="G255" s="14" t="s">
        <v>905</v>
      </c>
    </row>
    <row r="256" spans="1:7" x14ac:dyDescent="0.25">
      <c r="A256" s="14" t="s">
        <v>906</v>
      </c>
      <c r="B256" s="14" t="s">
        <v>907</v>
      </c>
      <c r="C256" s="17">
        <v>20</v>
      </c>
      <c r="D256" s="15" t="s">
        <v>222</v>
      </c>
      <c r="E256" s="15">
        <v>2.5790000000000002</v>
      </c>
      <c r="F256" s="19">
        <f t="shared" si="3"/>
        <v>51.580000000000005</v>
      </c>
      <c r="G256" s="14" t="s">
        <v>908</v>
      </c>
    </row>
    <row r="257" spans="1:7" x14ac:dyDescent="0.25">
      <c r="A257" s="14" t="s">
        <v>909</v>
      </c>
      <c r="B257" s="14" t="s">
        <v>294</v>
      </c>
      <c r="C257" s="17">
        <v>20</v>
      </c>
      <c r="D257" s="15" t="s">
        <v>222</v>
      </c>
      <c r="E257" s="15">
        <v>3.75</v>
      </c>
      <c r="F257" s="19">
        <f t="shared" si="3"/>
        <v>75</v>
      </c>
      <c r="G257" s="14" t="s">
        <v>910</v>
      </c>
    </row>
    <row r="258" spans="1:7" x14ac:dyDescent="0.25">
      <c r="A258" s="14" t="s">
        <v>911</v>
      </c>
      <c r="B258" s="14" t="s">
        <v>352</v>
      </c>
      <c r="C258" s="17">
        <v>20</v>
      </c>
      <c r="D258" s="15" t="s">
        <v>222</v>
      </c>
      <c r="E258" s="15">
        <v>1.8</v>
      </c>
      <c r="F258" s="19">
        <f t="shared" si="3"/>
        <v>36</v>
      </c>
      <c r="G258" s="14" t="s">
        <v>912</v>
      </c>
    </row>
    <row r="259" spans="1:7" x14ac:dyDescent="0.25">
      <c r="A259" s="14" t="s">
        <v>913</v>
      </c>
      <c r="B259" s="14" t="s">
        <v>352</v>
      </c>
      <c r="C259" s="17">
        <v>20</v>
      </c>
      <c r="D259" s="15" t="s">
        <v>222</v>
      </c>
      <c r="E259" s="15">
        <v>2.2400000000000002</v>
      </c>
      <c r="F259" s="19">
        <f t="shared" ref="F259:F282" si="4">C259*E259</f>
        <v>44.800000000000004</v>
      </c>
      <c r="G259" s="14" t="s">
        <v>914</v>
      </c>
    </row>
    <row r="260" spans="1:7" x14ac:dyDescent="0.25">
      <c r="A260" s="14" t="s">
        <v>915</v>
      </c>
      <c r="B260" s="14" t="s">
        <v>916</v>
      </c>
      <c r="C260" s="17">
        <v>20</v>
      </c>
      <c r="D260" s="15" t="s">
        <v>222</v>
      </c>
      <c r="E260" s="15">
        <v>0.76</v>
      </c>
      <c r="F260" s="19">
        <f t="shared" si="4"/>
        <v>15.2</v>
      </c>
      <c r="G260" s="14" t="s">
        <v>917</v>
      </c>
    </row>
    <row r="261" spans="1:7" x14ac:dyDescent="0.25">
      <c r="A261" s="14" t="s">
        <v>918</v>
      </c>
      <c r="B261" s="14" t="s">
        <v>403</v>
      </c>
      <c r="C261" s="17">
        <v>20</v>
      </c>
      <c r="D261" s="15" t="s">
        <v>222</v>
      </c>
      <c r="E261" s="15">
        <v>2.56</v>
      </c>
      <c r="F261" s="19">
        <f t="shared" si="4"/>
        <v>51.2</v>
      </c>
      <c r="G261" s="14" t="s">
        <v>919</v>
      </c>
    </row>
    <row r="262" spans="1:7" x14ac:dyDescent="0.25">
      <c r="A262" s="14" t="s">
        <v>920</v>
      </c>
      <c r="B262" s="14" t="s">
        <v>921</v>
      </c>
      <c r="C262" s="17">
        <v>20</v>
      </c>
      <c r="D262" s="15" t="s">
        <v>222</v>
      </c>
      <c r="E262" s="15">
        <v>5</v>
      </c>
      <c r="F262" s="19">
        <f t="shared" si="4"/>
        <v>100</v>
      </c>
      <c r="G262" s="14" t="s">
        <v>922</v>
      </c>
    </row>
    <row r="263" spans="1:7" x14ac:dyDescent="0.25">
      <c r="A263" s="14" t="s">
        <v>923</v>
      </c>
      <c r="B263" s="14" t="s">
        <v>924</v>
      </c>
      <c r="C263" s="17">
        <v>20</v>
      </c>
      <c r="D263" s="15" t="s">
        <v>222</v>
      </c>
      <c r="E263" s="15">
        <v>1.0900000000000001</v>
      </c>
      <c r="F263" s="19">
        <f t="shared" si="4"/>
        <v>21.8</v>
      </c>
      <c r="G263" s="14" t="s">
        <v>925</v>
      </c>
    </row>
    <row r="264" spans="1:7" x14ac:dyDescent="0.25">
      <c r="A264" s="14" t="s">
        <v>926</v>
      </c>
      <c r="B264" s="14" t="s">
        <v>751</v>
      </c>
      <c r="C264" s="17">
        <v>20</v>
      </c>
      <c r="D264" s="15" t="s">
        <v>222</v>
      </c>
      <c r="E264" s="15">
        <v>2.74</v>
      </c>
      <c r="F264" s="19">
        <f t="shared" si="4"/>
        <v>54.800000000000004</v>
      </c>
      <c r="G264" s="14" t="s">
        <v>927</v>
      </c>
    </row>
    <row r="265" spans="1:7" x14ac:dyDescent="0.25">
      <c r="A265" s="14" t="s">
        <v>928</v>
      </c>
      <c r="B265" s="14" t="s">
        <v>349</v>
      </c>
      <c r="C265" s="17">
        <v>20</v>
      </c>
      <c r="D265" s="15" t="s">
        <v>222</v>
      </c>
      <c r="E265" s="15">
        <v>3.3879999999999999</v>
      </c>
      <c r="F265" s="19">
        <f t="shared" si="4"/>
        <v>67.759999999999991</v>
      </c>
      <c r="G265" s="14" t="s">
        <v>929</v>
      </c>
    </row>
    <row r="266" spans="1:7" x14ac:dyDescent="0.25">
      <c r="A266" s="14" t="s">
        <v>930</v>
      </c>
      <c r="B266" s="14" t="s">
        <v>931</v>
      </c>
      <c r="C266" s="17">
        <v>20</v>
      </c>
      <c r="D266" s="15" t="s">
        <v>222</v>
      </c>
      <c r="E266" s="15">
        <v>6.4320000000000004</v>
      </c>
      <c r="F266" s="19">
        <f t="shared" si="4"/>
        <v>128.64000000000001</v>
      </c>
      <c r="G266" s="14" t="s">
        <v>929</v>
      </c>
    </row>
    <row r="267" spans="1:7" x14ac:dyDescent="0.25">
      <c r="A267" s="14" t="s">
        <v>932</v>
      </c>
      <c r="B267" s="14" t="s">
        <v>563</v>
      </c>
      <c r="C267" s="17">
        <v>20</v>
      </c>
      <c r="D267" s="15" t="s">
        <v>222</v>
      </c>
      <c r="E267" s="15">
        <v>1.327</v>
      </c>
      <c r="F267" s="19">
        <f t="shared" si="4"/>
        <v>26.54</v>
      </c>
      <c r="G267" s="14" t="s">
        <v>933</v>
      </c>
    </row>
    <row r="268" spans="1:7" x14ac:dyDescent="0.25">
      <c r="A268" s="14" t="s">
        <v>934</v>
      </c>
      <c r="B268" s="14" t="s">
        <v>563</v>
      </c>
      <c r="C268" s="17">
        <v>20</v>
      </c>
      <c r="D268" s="15" t="s">
        <v>222</v>
      </c>
      <c r="E268" s="15">
        <v>2.1869999999999998</v>
      </c>
      <c r="F268" s="19">
        <f t="shared" si="4"/>
        <v>43.739999999999995</v>
      </c>
      <c r="G268" s="14" t="s">
        <v>935</v>
      </c>
    </row>
    <row r="269" spans="1:7" x14ac:dyDescent="0.25">
      <c r="A269" s="14" t="s">
        <v>936</v>
      </c>
      <c r="B269" s="14" t="s">
        <v>454</v>
      </c>
      <c r="C269" s="17">
        <v>20</v>
      </c>
      <c r="D269" s="15" t="s">
        <v>222</v>
      </c>
      <c r="E269" s="15">
        <v>1.18</v>
      </c>
      <c r="F269" s="19">
        <f t="shared" si="4"/>
        <v>23.599999999999998</v>
      </c>
      <c r="G269" s="14" t="s">
        <v>937</v>
      </c>
    </row>
    <row r="270" spans="1:7" x14ac:dyDescent="0.25">
      <c r="A270" s="14" t="s">
        <v>938</v>
      </c>
      <c r="B270" s="14" t="s">
        <v>369</v>
      </c>
      <c r="C270" s="17">
        <v>20</v>
      </c>
      <c r="D270" s="15" t="s">
        <v>222</v>
      </c>
      <c r="E270" s="15">
        <v>1.47</v>
      </c>
      <c r="F270" s="19">
        <f t="shared" si="4"/>
        <v>29.4</v>
      </c>
      <c r="G270" s="14" t="s">
        <v>939</v>
      </c>
    </row>
    <row r="271" spans="1:7" x14ac:dyDescent="0.25">
      <c r="A271" s="14" t="s">
        <v>940</v>
      </c>
      <c r="B271" s="14" t="s">
        <v>369</v>
      </c>
      <c r="C271" s="17">
        <v>20</v>
      </c>
      <c r="D271" s="15" t="s">
        <v>222</v>
      </c>
      <c r="E271" s="15">
        <v>1.79</v>
      </c>
      <c r="F271" s="19">
        <f t="shared" si="4"/>
        <v>35.799999999999997</v>
      </c>
      <c r="G271" s="14" t="s">
        <v>941</v>
      </c>
    </row>
    <row r="272" spans="1:7" x14ac:dyDescent="0.25">
      <c r="A272" s="14" t="s">
        <v>942</v>
      </c>
      <c r="B272" s="14" t="s">
        <v>378</v>
      </c>
      <c r="C272" s="17">
        <v>20</v>
      </c>
      <c r="D272" s="15" t="s">
        <v>222</v>
      </c>
      <c r="E272" s="15">
        <v>0.24099999999999999</v>
      </c>
      <c r="F272" s="19">
        <f t="shared" si="4"/>
        <v>4.82</v>
      </c>
      <c r="G272" s="14" t="s">
        <v>943</v>
      </c>
    </row>
    <row r="273" spans="1:7" x14ac:dyDescent="0.25">
      <c r="A273" s="14" t="s">
        <v>944</v>
      </c>
      <c r="B273" s="14" t="s">
        <v>378</v>
      </c>
      <c r="C273" s="17">
        <v>20</v>
      </c>
      <c r="D273" s="15" t="s">
        <v>222</v>
      </c>
      <c r="E273" s="15">
        <v>0.76200000000000001</v>
      </c>
      <c r="F273" s="19">
        <f t="shared" si="4"/>
        <v>15.24</v>
      </c>
      <c r="G273" s="14" t="s">
        <v>945</v>
      </c>
    </row>
    <row r="274" spans="1:7" x14ac:dyDescent="0.25">
      <c r="A274" s="14" t="s">
        <v>946</v>
      </c>
      <c r="B274" s="14" t="s">
        <v>947</v>
      </c>
      <c r="C274" s="17">
        <v>20</v>
      </c>
      <c r="D274" s="15" t="s">
        <v>222</v>
      </c>
      <c r="E274" s="15">
        <v>1.292</v>
      </c>
      <c r="F274" s="19">
        <f t="shared" si="4"/>
        <v>25.84</v>
      </c>
      <c r="G274" s="14" t="s">
        <v>948</v>
      </c>
    </row>
    <row r="275" spans="1:7" x14ac:dyDescent="0.25">
      <c r="A275" s="14" t="s">
        <v>949</v>
      </c>
      <c r="B275" s="14" t="s">
        <v>950</v>
      </c>
      <c r="C275" s="17">
        <v>20</v>
      </c>
      <c r="D275" s="15" t="s">
        <v>222</v>
      </c>
      <c r="E275" s="15">
        <v>3.194</v>
      </c>
      <c r="F275" s="19">
        <f t="shared" si="4"/>
        <v>63.879999999999995</v>
      </c>
      <c r="G275" s="14" t="s">
        <v>951</v>
      </c>
    </row>
    <row r="276" spans="1:7" x14ac:dyDescent="0.25">
      <c r="A276" s="14" t="s">
        <v>952</v>
      </c>
      <c r="B276" s="14" t="s">
        <v>953</v>
      </c>
      <c r="C276" s="17">
        <v>20</v>
      </c>
      <c r="D276" s="15" t="s">
        <v>222</v>
      </c>
      <c r="E276" s="15">
        <v>0.751</v>
      </c>
      <c r="F276" s="19">
        <f t="shared" si="4"/>
        <v>15.02</v>
      </c>
      <c r="G276" s="14" t="s">
        <v>716</v>
      </c>
    </row>
    <row r="277" spans="1:7" x14ac:dyDescent="0.25">
      <c r="A277" s="14" t="s">
        <v>954</v>
      </c>
      <c r="B277" s="14" t="s">
        <v>686</v>
      </c>
      <c r="C277" s="17">
        <v>20</v>
      </c>
      <c r="D277" s="15" t="s">
        <v>222</v>
      </c>
      <c r="E277" s="15">
        <v>2.0630000000000002</v>
      </c>
      <c r="F277" s="19">
        <f t="shared" si="4"/>
        <v>41.260000000000005</v>
      </c>
      <c r="G277" s="14" t="s">
        <v>955</v>
      </c>
    </row>
    <row r="278" spans="1:7" x14ac:dyDescent="0.25">
      <c r="A278" s="14" t="s">
        <v>956</v>
      </c>
      <c r="B278" s="14" t="s">
        <v>686</v>
      </c>
      <c r="C278" s="17">
        <v>20</v>
      </c>
      <c r="D278" s="15" t="s">
        <v>222</v>
      </c>
      <c r="E278" s="15">
        <v>2.786</v>
      </c>
      <c r="F278" s="19">
        <f t="shared" si="4"/>
        <v>55.72</v>
      </c>
      <c r="G278" s="14" t="s">
        <v>957</v>
      </c>
    </row>
    <row r="279" spans="1:7" x14ac:dyDescent="0.25">
      <c r="A279" s="14" t="s">
        <v>958</v>
      </c>
      <c r="B279" s="14" t="s">
        <v>959</v>
      </c>
      <c r="C279" s="17">
        <v>20</v>
      </c>
      <c r="D279" s="15" t="s">
        <v>222</v>
      </c>
      <c r="E279" s="15">
        <v>1.6</v>
      </c>
      <c r="F279" s="19">
        <f t="shared" si="4"/>
        <v>32</v>
      </c>
      <c r="G279" s="14" t="s">
        <v>960</v>
      </c>
    </row>
    <row r="280" spans="1:7" x14ac:dyDescent="0.25">
      <c r="A280" s="14" t="s">
        <v>961</v>
      </c>
      <c r="B280" s="14" t="s">
        <v>962</v>
      </c>
      <c r="C280" s="17">
        <v>20</v>
      </c>
      <c r="D280" s="15" t="s">
        <v>222</v>
      </c>
      <c r="E280" s="15">
        <v>5.1589999999999998</v>
      </c>
      <c r="F280" s="19">
        <f t="shared" si="4"/>
        <v>103.17999999999999</v>
      </c>
      <c r="G280" s="14" t="s">
        <v>963</v>
      </c>
    </row>
    <row r="281" spans="1:7" x14ac:dyDescent="0.25">
      <c r="A281" s="14" t="s">
        <v>964</v>
      </c>
      <c r="B281" s="14" t="s">
        <v>965</v>
      </c>
      <c r="C281" s="17">
        <v>10</v>
      </c>
      <c r="D281" s="15" t="s">
        <v>222</v>
      </c>
      <c r="E281" s="15">
        <v>1.343</v>
      </c>
      <c r="F281" s="19">
        <f t="shared" si="4"/>
        <v>13.43</v>
      </c>
      <c r="G281" s="14" t="s">
        <v>966</v>
      </c>
    </row>
    <row r="282" spans="1:7" x14ac:dyDescent="0.25">
      <c r="A282" s="14" t="s">
        <v>967</v>
      </c>
      <c r="B282" s="14" t="s">
        <v>968</v>
      </c>
      <c r="C282" s="17">
        <v>10</v>
      </c>
      <c r="D282" s="15" t="s">
        <v>222</v>
      </c>
      <c r="E282" s="15">
        <v>0.98499999999999999</v>
      </c>
      <c r="F282" s="19">
        <f t="shared" si="4"/>
        <v>9.85</v>
      </c>
      <c r="G282" s="14" t="s">
        <v>969</v>
      </c>
    </row>
    <row r="283" spans="1:7" x14ac:dyDescent="0.25">
      <c r="E283" s="13" t="s">
        <v>971</v>
      </c>
      <c r="F283" s="21">
        <f>SUM(F2:F282)</f>
        <v>63967.489999999969</v>
      </c>
    </row>
    <row r="284" spans="1:7" x14ac:dyDescent="0.25">
      <c r="E284" s="13" t="s">
        <v>972</v>
      </c>
      <c r="F284" s="22">
        <f>F283*E285</f>
        <v>1727122229.999999</v>
      </c>
    </row>
    <row r="285" spans="1:7" x14ac:dyDescent="0.25">
      <c r="E285" s="20">
        <v>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Fitting mua Ryco</vt:lpstr>
      <vt:lpstr>Adapter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Lai</dc:creator>
  <cp:lastModifiedBy>gd003</cp:lastModifiedBy>
  <dcterms:created xsi:type="dcterms:W3CDTF">2024-08-15T08:55:36Z</dcterms:created>
  <dcterms:modified xsi:type="dcterms:W3CDTF">2025-10-08T09:26:35Z</dcterms:modified>
</cp:coreProperties>
</file>